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DAD DE ELECTROCIRUGIA" sheetId="1" r:id="rId4"/>
    <sheet state="visible" name="CENTRIFUGA" sheetId="2" r:id="rId5"/>
    <sheet state="visible" name="BASCULA" sheetId="3" r:id="rId6"/>
    <sheet state="visible" name="CAMA" sheetId="4" r:id="rId7"/>
    <sheet state="visible" name="MESA DE EXPLORACION" sheetId="5" r:id="rId8"/>
    <sheet state="visible" name="SIERRA" sheetId="6" r:id="rId9"/>
    <sheet state="visible" name="MAQUINA DE ANESTESIA" sheetId="7" r:id="rId10"/>
    <sheet state="visible" name="DESFIBRILADOR" sheetId="8" r:id="rId11"/>
    <sheet state="visible" name="MONITOR DE SIGNOS VITALES" sheetId="9" r:id="rId12"/>
  </sheets>
  <definedNames/>
  <calcPr/>
  <extLst>
    <ext uri="GoogleSheetsCustomDataVersion2">
      <go:sheetsCustomData xmlns:go="http://customooxmlschemas.google.com/" r:id="rId13" roundtripDataChecksum="UBOovco3YUxektU5oqwC+NRE3RT/XvmrnIn6F529zKY="/>
    </ext>
  </extLst>
</workbook>
</file>

<file path=xl/sharedStrings.xml><?xml version="1.0" encoding="utf-8"?>
<sst xmlns="http://schemas.openxmlformats.org/spreadsheetml/2006/main" count="1333" uniqueCount="426">
  <si>
    <t xml:space="preserve">Lista de Verificación Operacional de Unidad de Electrocirugias </t>
  </si>
  <si>
    <t>FOLIO:</t>
  </si>
  <si>
    <t>Fecha:</t>
  </si>
  <si>
    <t>Tiempo de procedimiento:</t>
  </si>
  <si>
    <t>1 h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</si>
  <si>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</si>
  <si>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</si>
  <si>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</si>
  <si>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</si>
  <si>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</si>
  <si>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</si>
  <si>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</si>
  <si>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</si>
  <si>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</si>
  <si>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</si>
  <si>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</si>
  <si>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</si>
  <si>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</si>
  <si>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</si>
  <si>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</si>
  <si>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</si>
  <si>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</si>
  <si>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</si>
  <si>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</si>
  <si>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</si>
  <si>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</si>
  <si>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</si>
  <si>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</si>
  <si>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</si>
  <si>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</si>
  <si>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</si>
  <si>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</si>
  <si>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</si>
  <si>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</si>
  <si>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</si>
  <si>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</si>
  <si>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</si>
  <si>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</si>
  <si>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</si>
  <si>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</si>
  <si>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</si>
  <si>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</si>
  <si>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</si>
  <si>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</si>
  <si>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</si>
  <si>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</si>
  <si>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</si>
  <si>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</si>
  <si>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</si>
  <si>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</si>
  <si>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</si>
  <si>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</si>
  <si>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</si>
  <si>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</si>
  <si>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</si>
  <si>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</si>
  <si>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</si>
  <si>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</si>
  <si>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</si>
  <si>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</si>
  <si>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</si>
  <si>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--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</si>
  <si>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</si>
  <si>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</si>
  <si>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</si>
  <si>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</si>
  <si>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</si>
  <si>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</si>
  <si>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</si>
  <si>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</si>
  <si>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</si>
  <si>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</si>
  <si>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</si>
  <si>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</si>
  <si>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</si>
  <si>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</si>
  <si>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</si>
  <si>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</si>
  <si>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</si>
  <si>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</si>
  <si>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</si>
  <si>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</si>
  <si>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</si>
  <si>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</si>
  <si>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</si>
  <si>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</si>
  <si>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</si>
  <si>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</si>
  <si>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</si>
  <si>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</si>
  <si>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</si>
  <si>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</si>
  <si>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</si>
  <si>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</si>
  <si>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</si>
  <si>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</si>
  <si>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</si>
  <si>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</si>
  <si>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</si>
  <si>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</si>
  <si>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</si>
  <si>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</si>
  <si>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</si>
  <si>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</si>
  <si>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</si>
  <si>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</si>
  <si>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</si>
  <si>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</si>
  <si>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</si>
  <si>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</si>
  <si>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</si>
  <si>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</si>
  <si>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</si>
  <si>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</si>
  <si>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</si>
  <si>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</si>
  <si>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</si>
  <si>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</si>
  <si>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</si>
  <si>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</si>
  <si>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</si>
  <si>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</si>
  <si>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</si>
  <si>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</si>
  <si>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</si>
  <si>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</si>
  <si>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</si>
  <si>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</si>
  <si>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</si>
  <si>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</si>
  <si>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</si>
  <si>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</si>
  <si>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</si>
  <si>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</si>
  <si>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</si>
  <si>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</si>
  <si>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</si>
  <si>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</si>
  <si>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</si>
  <si>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</si>
  <si>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</si>
  <si>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</si>
  <si>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</si>
  <si>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</si>
  <si>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</si>
  <si>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</si>
  <si>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</si>
  <si>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</si>
  <si>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</si>
  <si>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</si>
  <si>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</si>
  <si>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</si>
  <si>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</si>
  <si>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</si>
  <si>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</si>
  <si>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</si>
  <si>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</si>
  <si>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</si>
  <si>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</si>
  <si>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</si>
  <si>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</si>
  <si>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</si>
  <si>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</si>
  <si>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</si>
  <si>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</si>
  <si>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</si>
  <si>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</si>
  <si>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</si>
  <si>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</si>
  <si>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</si>
  <si>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</si>
  <si>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</si>
  <si>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</si>
  <si>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</si>
  <si>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</si>
  <si>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</si>
  <si>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</si>
  <si>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</si>
  <si>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</si>
  <si>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</si>
  <si>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</si>
  <si>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</si>
  <si>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</si>
  <si>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</si>
  <si>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</si>
  <si>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</si>
  <si>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</si>
  <si>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</si>
  <si>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</si>
  <si>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</si>
  <si>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</si>
  <si>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</si>
  <si>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</si>
  <si>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</si>
  <si>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</si>
  <si>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</si>
  <si>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</si>
  <si>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</si>
  <si>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</si>
  <si>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</si>
  <si>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</si>
  <si>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</si>
  <si>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</si>
  <si>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</si>
  <si>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</si>
  <si>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</si>
  <si>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</si>
  <si>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</si>
  <si>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</si>
  <si>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</si>
  <si>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</si>
  <si>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</si>
  <si>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</si>
  <si>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</si>
  <si>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</si>
  <si>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</si>
  <si>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</si>
  <si>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</si>
  <si>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</si>
  <si>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</si>
  <si>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</si>
  <si>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</si>
  <si>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</si>
  <si>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</si>
  <si>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</si>
  <si>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</si>
  <si>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</si>
  <si>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</si>
  <si>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</si>
  <si>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</si>
  <si>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</si>
  <si>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</si>
  <si>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</si>
  <si>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</si>
  <si>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</si>
  <si>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</si>
  <si>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</si>
  <si>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</si>
  <si>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</si>
  <si>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</si>
  <si>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</si>
  <si>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</si>
  <si>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</si>
  <si>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</si>
  <si>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</si>
  <si>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</si>
  <si>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</si>
  <si>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</si>
  <si>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</si>
  <si>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</si>
  <si>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</si>
  <si>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</si>
  <si>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</si>
  <si>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</si>
  <si>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</si>
  <si>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</si>
  <si>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</si>
  <si>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</si>
  <si>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</si>
  <si>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</si>
  <si>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</si>
  <si>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</si>
  <si>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</si>
  <si>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</si>
  <si>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</si>
  <si>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</si>
  <si>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</si>
  <si>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</si>
  <si>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</si>
  <si>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</si>
  <si>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</si>
  <si>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</si>
  <si>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</si>
  <si>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</si>
  <si>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</si>
  <si>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</si>
  <si>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</si>
  <si>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</si>
  <si>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</si>
  <si>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</si>
  <si>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</si>
  <si>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</si>
  <si>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</si>
  <si>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</si>
  <si>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</si>
  <si>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</si>
  <si>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</si>
  <si>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</si>
  <si>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</si>
  <si>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</si>
  <si>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</si>
  <si>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</si>
  <si>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</si>
  <si>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</si>
  <si>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</si>
  <si>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</si>
  <si>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</si>
  <si>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</si>
  <si>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</si>
  <si>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</si>
  <si>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</si>
  <si>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</si>
  <si>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</si>
  <si>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</si>
  <si>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</si>
  <si>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</si>
  <si>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</si>
  <si>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</si>
  <si>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</si>
  <si>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</si>
  <si>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</si>
  <si>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</si>
  <si>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</si>
  <si>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</si>
  <si>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</si>
  <si>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</si>
  <si>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</si>
  <si>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</si>
  <si>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</si>
  <si>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</si>
  <si>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</si>
  <si>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</si>
  <si>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</si>
  <si>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</si>
  <si>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</si>
  <si>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</si>
  <si>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</si>
  <si>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</si>
  <si>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</si>
  <si>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</si>
  <si>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</si>
  <si>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</si>
  <si>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</si>
  <si>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</si>
  <si>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</si>
  <si>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</si>
  <si>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</si>
  <si>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</si>
  <si>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Lista de Verificación Operacional de Desfirbilador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</si>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</sst>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m&quot;/&quot;yyyy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14.0"/>
      <color theme="1"/>
      <name val="Arial"/>
    </font>
    <font>
      <sz val="14.0"/>
      <color theme="1"/>
      <name val="Calibri"/>
    </font>
    <font/>
    <font>
      <b/>
      <sz val="11.0"/>
      <color theme="1"/>
      <name val="Calibri"/>
    </font>
    <font>
      <sz val="11.0"/>
      <color theme="1"/>
      <name val="Arimo"/>
    </font>
    <font>
      <sz val="10.0"/>
      <color theme="1"/>
      <name val="Calibri"/>
    </font>
    <font>
      <color theme="1"/>
      <name val="Calibri"/>
    </font>
    <font>
      <sz val="8.0"/>
      <color theme="1"/>
      <name val="Calibri"/>
    </font>
    <font>
      <color rgb="FF000000"/>
      <name val="Calibri"/>
    </font>
    <font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/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vertical="center"/>
    </xf>
    <xf borderId="0" fillId="0" fontId="1" numFmtId="0" xfId="0" applyAlignment="1" applyFont="1">
      <alignment horizontal="right" vertical="center"/>
    </xf>
    <xf borderId="1" fillId="0" fontId="1" numFmtId="0" xfId="0" applyAlignment="1" applyBorder="1" applyFont="1">
      <alignment horizontal="center" vertical="center"/>
    </xf>
    <xf borderId="1" fillId="0" fontId="4" numFmtId="0" xfId="0" applyBorder="1" applyFont="1"/>
    <xf borderId="0" fillId="0" fontId="1" numFmtId="0" xfId="0" applyAlignment="1" applyFont="1">
      <alignment horizontal="center" vertical="center"/>
    </xf>
    <xf borderId="0" fillId="0" fontId="1" numFmtId="164" xfId="0" applyAlignment="1" applyFont="1" applyNumberFormat="1">
      <alignment horizontal="left" vertical="center"/>
    </xf>
    <xf borderId="0" fillId="0" fontId="1" numFmtId="0" xfId="0" applyAlignment="1" applyFont="1">
      <alignment vertical="center"/>
    </xf>
    <xf borderId="2" fillId="0" fontId="5" numFmtId="0" xfId="0" applyAlignment="1" applyBorder="1" applyFont="1">
      <alignment horizontal="left" vertical="center"/>
    </xf>
    <xf borderId="3" fillId="0" fontId="4" numFmtId="0" xfId="0" applyBorder="1" applyFont="1"/>
    <xf borderId="4" fillId="0" fontId="4" numFmtId="0" xfId="0" applyBorder="1" applyFont="1"/>
    <xf borderId="2" fillId="0" fontId="6" numFmtId="0" xfId="0" applyAlignment="1" applyBorder="1" applyFont="1">
      <alignment horizontal="center" shrinkToFit="1" vertical="center" wrapText="0"/>
    </xf>
    <xf borderId="2" fillId="2" fontId="5" numFmtId="0" xfId="0" applyAlignment="1" applyBorder="1" applyFill="1" applyFont="1">
      <alignment horizontal="left" vertical="center"/>
    </xf>
    <xf borderId="2" fillId="0" fontId="1" numFmtId="0" xfId="0" applyAlignment="1" applyBorder="1" applyFont="1">
      <alignment horizontal="center" shrinkToFit="1" vertical="center" wrapText="0"/>
    </xf>
    <xf borderId="2" fillId="3" fontId="5" numFmtId="0" xfId="0" applyAlignment="1" applyBorder="1" applyFill="1" applyFont="1">
      <alignment horizontal="left" vertical="center"/>
    </xf>
    <xf borderId="5" fillId="3" fontId="5" numFmtId="0" xfId="0" applyAlignment="1" applyBorder="1" applyFont="1">
      <alignment horizontal="left" vertical="center"/>
    </xf>
    <xf borderId="6" fillId="0" fontId="4" numFmtId="0" xfId="0" applyBorder="1" applyFont="1"/>
    <xf borderId="7" fillId="0" fontId="4" numFmtId="0" xfId="0" applyBorder="1" applyFont="1"/>
    <xf borderId="2" fillId="0" fontId="5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left" vertical="center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shrinkToFit="1" vertical="center" wrapText="0"/>
    </xf>
    <xf borderId="9" fillId="0" fontId="4" numFmtId="0" xfId="0" applyBorder="1" applyFont="1"/>
    <xf borderId="10" fillId="0" fontId="4" numFmtId="0" xfId="0" applyBorder="1" applyFont="1"/>
    <xf borderId="2" fillId="0" fontId="7" numFmtId="0" xfId="0" applyAlignment="1" applyBorder="1" applyFont="1">
      <alignment horizontal="center" vertical="center"/>
    </xf>
    <xf borderId="2" fillId="0" fontId="8" numFmtId="0" xfId="0" applyBorder="1" applyFont="1"/>
    <xf borderId="3" fillId="0" fontId="1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shrinkToFit="1" vertical="center" wrapText="0"/>
    </xf>
    <xf borderId="3" fillId="0" fontId="7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center" vertical="center"/>
    </xf>
    <xf borderId="11" fillId="0" fontId="4" numFmtId="0" xfId="0" applyBorder="1" applyFont="1"/>
    <xf borderId="12" fillId="0" fontId="6" numFmtId="0" xfId="0" applyAlignment="1" applyBorder="1" applyFont="1">
      <alignment horizontal="center" shrinkToFit="1" vertical="center" wrapText="0"/>
    </xf>
    <xf borderId="13" fillId="0" fontId="6" numFmtId="0" xfId="0" applyAlignment="1" applyBorder="1" applyFont="1">
      <alignment horizontal="center" shrinkToFit="1" vertical="center" wrapText="0"/>
    </xf>
    <xf borderId="4" fillId="0" fontId="1" numFmtId="0" xfId="0" applyAlignment="1" applyBorder="1" applyFont="1">
      <alignment horizontal="right" vertical="center"/>
    </xf>
    <xf borderId="2" fillId="2" fontId="5" numFmtId="0" xfId="0" applyAlignment="1" applyBorder="1" applyFont="1">
      <alignment horizontal="center" vertical="center"/>
    </xf>
    <xf borderId="0" fillId="0" fontId="8" numFmtId="0" xfId="0" applyFont="1"/>
    <xf borderId="2" fillId="4" fontId="1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2" fillId="3" fontId="5" numFmtId="0" xfId="0" applyBorder="1" applyFont="1"/>
    <xf borderId="2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2" fillId="0" fontId="1" numFmtId="0" xfId="0" applyBorder="1" applyFont="1"/>
    <xf borderId="2" fillId="0" fontId="1" numFmtId="0" xfId="0" applyAlignment="1" applyBorder="1" applyFont="1">
      <alignment horizontal="center"/>
    </xf>
    <xf borderId="5" fillId="0" fontId="1" numFmtId="0" xfId="0" applyBorder="1" applyFont="1"/>
    <xf borderId="7" fillId="0" fontId="1" numFmtId="0" xfId="0" applyAlignment="1" applyBorder="1" applyFont="1">
      <alignment horizontal="center"/>
    </xf>
    <xf borderId="4" fillId="0" fontId="6" numFmtId="0" xfId="0" applyAlignment="1" applyBorder="1" applyFont="1">
      <alignment horizontal="center"/>
    </xf>
    <xf borderId="7" fillId="0" fontId="8" numFmtId="0" xfId="0" applyAlignment="1" applyBorder="1" applyFont="1">
      <alignment horizontal="center"/>
    </xf>
    <xf borderId="4" fillId="0" fontId="8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2" fillId="3" fontId="5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8" fillId="0" fontId="5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left" vertical="center"/>
    </xf>
    <xf borderId="2" fillId="0" fontId="7" numFmtId="0" xfId="0" applyAlignment="1" applyBorder="1" applyFont="1">
      <alignment horizontal="right" vertical="center"/>
    </xf>
    <xf borderId="4" fillId="0" fontId="7" numFmtId="0" xfId="0" applyAlignment="1" applyBorder="1" applyFont="1">
      <alignment horizontal="right" vertical="center"/>
    </xf>
    <xf borderId="0" fillId="0" fontId="1" numFmtId="0" xfId="0" applyFont="1"/>
    <xf borderId="0" fillId="0" fontId="1" numFmtId="0" xfId="0" applyAlignment="1" applyFont="1">
      <alignment vertical="bottom"/>
    </xf>
    <xf borderId="0" fillId="0" fontId="2" numFmtId="0" xfId="0" applyFont="1"/>
    <xf borderId="0" fillId="0" fontId="1" numFmtId="0" xfId="0" applyAlignment="1" applyFont="1">
      <alignment horizontal="right"/>
    </xf>
    <xf borderId="1" fillId="0" fontId="1" numFmtId="0" xfId="0" applyBorder="1" applyFont="1"/>
    <xf borderId="0" fillId="0" fontId="1" numFmtId="0" xfId="0" applyAlignment="1" applyFont="1">
      <alignment horizontal="center"/>
    </xf>
    <xf borderId="0" fillId="0" fontId="1" numFmtId="164" xfId="0" applyFont="1" applyNumberFormat="1"/>
    <xf borderId="2" fillId="0" fontId="5" numFmtId="0" xfId="0" applyBorder="1" applyFont="1"/>
    <xf borderId="2" fillId="0" fontId="6" numFmtId="0" xfId="0" applyAlignment="1" applyBorder="1" applyFont="1">
      <alignment horizontal="center"/>
    </xf>
    <xf borderId="2" fillId="2" fontId="5" numFmtId="0" xfId="0" applyBorder="1" applyFont="1"/>
    <xf borderId="5" fillId="3" fontId="5" numFmtId="0" xfId="0" applyBorder="1" applyFont="1"/>
    <xf borderId="8" fillId="0" fontId="1" numFmtId="0" xfId="0" applyBorder="1" applyFont="1"/>
    <xf borderId="5" fillId="0" fontId="6" numFmtId="0" xfId="0" applyAlignment="1" applyBorder="1" applyFont="1">
      <alignment horizontal="center"/>
    </xf>
    <xf borderId="2" fillId="0" fontId="8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/>
    </xf>
    <xf borderId="2" fillId="2" fontId="5" numFmtId="0" xfId="0" applyAlignment="1" applyBorder="1" applyFont="1">
      <alignment horizontal="center"/>
    </xf>
    <xf borderId="6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left" vertical="center"/>
    </xf>
    <xf borderId="2" fillId="0" fontId="6" numFmtId="0" xfId="0" applyAlignment="1" applyBorder="1" applyFont="1">
      <alignment horizontal="left" vertical="center"/>
    </xf>
    <xf borderId="5" fillId="0" fontId="1" numFmtId="0" xfId="0" applyAlignment="1" applyBorder="1" applyFont="1">
      <alignment horizontal="left" vertical="center"/>
    </xf>
    <xf borderId="5" fillId="0" fontId="6" numFmtId="0" xfId="0" applyAlignment="1" applyBorder="1" applyFont="1">
      <alignment horizontal="left" vertical="center"/>
    </xf>
    <xf borderId="5" fillId="2" fontId="5" numFmtId="0" xfId="0" applyAlignment="1" applyBorder="1" applyFont="1">
      <alignment horizontal="left" vertical="center"/>
    </xf>
    <xf borderId="5" fillId="3" fontId="5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2" fillId="0" fontId="10" numFmtId="0" xfId="0" applyAlignment="1" applyBorder="1" applyFont="1">
      <alignment horizontal="left" shrinkToFit="0" wrapText="0"/>
    </xf>
    <xf borderId="8" fillId="0" fontId="8" numFmtId="0" xfId="0" applyAlignment="1" applyBorder="1" applyFont="1">
      <alignment horizontal="center"/>
    </xf>
    <xf borderId="2" fillId="0" fontId="11" numFmtId="0" xfId="0" applyAlignment="1" applyBorder="1" applyFont="1">
      <alignment horizontal="left" shrinkToFit="0" wrapText="0"/>
    </xf>
    <xf borderId="4" fillId="0" fontId="1" numFmtId="0" xfId="0" applyBorder="1" applyFont="1"/>
    <xf borderId="2" fillId="0" fontId="10" numFmtId="0" xfId="0" applyAlignment="1" applyBorder="1" applyFont="1">
      <alignment shrinkToFit="0" wrapText="0"/>
    </xf>
    <xf borderId="4" fillId="0" fontId="1" numFmtId="0" xfId="0" applyAlignment="1" applyBorder="1" applyFont="1">
      <alignment horizontal="center"/>
    </xf>
    <xf borderId="2" fillId="0" fontId="10" numFmtId="0" xfId="0" applyAlignment="1" applyBorder="1" applyFont="1">
      <alignment horizontal="left" shrinkToFit="0" vertical="bottom" wrapText="0"/>
    </xf>
    <xf borderId="1" fillId="0" fontId="8" numFmtId="0" xfId="0" applyBorder="1" applyFont="1"/>
    <xf borderId="2" fillId="3" fontId="5" numFmtId="0" xfId="0" applyAlignment="1" applyBorder="1" applyFont="1">
      <alignment horizontal="center"/>
    </xf>
    <xf borderId="5" fillId="5" fontId="5" numFmtId="0" xfId="0" applyAlignment="1" applyBorder="1" applyFill="1" applyFont="1">
      <alignment horizontal="center" vertical="center"/>
    </xf>
    <xf borderId="2" fillId="5" fontId="5" numFmtId="0" xfId="0" applyBorder="1" applyFont="1"/>
    <xf borderId="3" fillId="0" fontId="10" numFmtId="0" xfId="0" applyAlignment="1" applyBorder="1" applyFont="1">
      <alignment horizontal="left" shrinkToFit="0" wrapText="0"/>
    </xf>
    <xf borderId="0" fillId="0" fontId="8" numFmtId="0" xfId="0" applyAlignment="1" applyFont="1">
      <alignment horizontal="center"/>
    </xf>
    <xf borderId="8" fillId="0" fontId="1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238125</xdr:colOff>
      <xdr:row>2</xdr:row>
      <xdr:rowOff>142875</xdr:rowOff>
    </xdr:from>
    <xdr:ext cx="1562100" cy="542925"/>
    <xdr:sp>
      <xdr:nvSpPr>
        <xdr:cNvPr id="3" name="Shape 3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238125</xdr:colOff>
      <xdr:row>2</xdr:row>
      <xdr:rowOff>142875</xdr:rowOff>
    </xdr:from>
    <xdr:ext cx="1562100" cy="542925"/>
    <xdr:sp>
      <xdr:nvSpPr>
        <xdr:cNvPr id="4" name="Shape 4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238125</xdr:colOff>
      <xdr:row>2</xdr:row>
      <xdr:rowOff>142875</xdr:rowOff>
    </xdr:from>
    <xdr:ext cx="1562100" cy="542925"/>
    <xdr:sp>
      <xdr:nvSpPr>
        <xdr:cNvPr id="5" name="Shape 5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238125</xdr:colOff>
      <xdr:row>0</xdr:row>
      <xdr:rowOff>142875</xdr:rowOff>
    </xdr:from>
    <xdr:ext cx="1562100" cy="542925"/>
    <xdr:sp>
      <xdr:nvSpPr>
        <xdr:cNvPr id="6" name="Shape 6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238125</xdr:colOff>
      <xdr:row>0</xdr:row>
      <xdr:rowOff>142875</xdr:rowOff>
    </xdr:from>
    <xdr:ext cx="1562100" cy="542925"/>
    <xdr:sp>
      <xdr:nvSpPr>
        <xdr:cNvPr id="7" name="Shape 7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238125</xdr:colOff>
      <xdr:row>2</xdr:row>
      <xdr:rowOff>142875</xdr:rowOff>
    </xdr:from>
    <xdr:ext cx="1562100" cy="542925"/>
    <xdr:sp>
      <xdr:nvSpPr>
        <xdr:cNvPr id="8" name="Shape 8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238125</xdr:colOff>
      <xdr:row>0</xdr:row>
      <xdr:rowOff>142875</xdr:rowOff>
    </xdr:from>
    <xdr:ext cx="1562100" cy="542925"/>
    <xdr:sp>
      <xdr:nvSpPr>
        <xdr:cNvPr id="9" name="Shape 9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238125</xdr:colOff>
      <xdr:row>0</xdr:row>
      <xdr:rowOff>142875</xdr:rowOff>
    </xdr:from>
    <xdr:ext cx="1562100" cy="542925"/>
    <xdr:sp>
      <xdr:nvSpPr>
        <xdr:cNvPr id="10" name="Shape 10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238125</xdr:colOff>
      <xdr:row>0</xdr:row>
      <xdr:rowOff>142875</xdr:rowOff>
    </xdr:from>
    <xdr:ext cx="1562100" cy="542925"/>
    <xdr:sp>
      <xdr:nvSpPr>
        <xdr:cNvPr id="11" name="Shape 11"/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cap="flat" cmpd="sng" w="12700">
          <a:solidFill>
            <a:srgbClr val="517E3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0"/>
    <col customWidth="1" min="2" max="7" width="2.71"/>
    <col customWidth="1" min="8" max="8" width="3.43"/>
    <col customWidth="1" min="9" max="13" width="2.71"/>
    <col customWidth="1" min="14" max="14" width="5.43"/>
    <col customWidth="1" min="15" max="19" width="2.71"/>
    <col customWidth="1" min="20" max="20" width="9.57"/>
    <col customWidth="1" min="21" max="27" width="2.71"/>
    <col customWidth="1" min="28" max="28" width="4.57"/>
    <col customWidth="1" min="29" max="40" width="5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ht="15.0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ht="15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ht="15.0" customHeight="1">
      <c r="A7" s="1"/>
      <c r="AN7" s="1"/>
    </row>
    <row r="8" ht="15.0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"/>
      <c r="AG8" s="6"/>
      <c r="AH8" s="6"/>
      <c r="AI8" s="6"/>
      <c r="AJ8" s="6"/>
      <c r="AK8" s="6"/>
      <c r="AL8" s="6"/>
      <c r="AM8" s="6"/>
    </row>
    <row r="9" ht="15.0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7"/>
      <c r="AE9" s="1"/>
      <c r="AF9" s="1"/>
      <c r="AG9" s="1"/>
      <c r="AH9" s="1"/>
      <c r="AI9" s="1"/>
      <c r="AJ9" s="1"/>
      <c r="AK9" s="1"/>
      <c r="AL9" s="1"/>
      <c r="AM9" s="1"/>
    </row>
    <row r="10" ht="18.75" customHeight="1">
      <c r="A10" s="1"/>
      <c r="B10" s="7" t="s">
        <v>2</v>
      </c>
      <c r="D10" s="8" t="str">
        <f> TEXT(DATE(YEAR(TODAY()), MONTH(TODAY()), 25), "dd/mmm/yyyy")</f>
        <v>25/jul/2026</v>
      </c>
      <c r="I10" s="1"/>
      <c r="J10" s="1"/>
      <c r="K10" s="1"/>
      <c r="L10" s="1"/>
      <c r="M10" s="1"/>
      <c r="N10" s="1"/>
      <c r="O10" s="9"/>
      <c r="S10" s="4" t="s">
        <v>3</v>
      </c>
      <c r="Y10" s="1" t="s">
        <v>4</v>
      </c>
      <c r="AB10" s="1"/>
      <c r="AC10" s="1"/>
      <c r="AD10" s="1"/>
      <c r="AE10" s="1"/>
      <c r="AF10" s="1"/>
      <c r="AG10" s="1"/>
      <c r="AI10" s="10" t="s">
        <v>5</v>
      </c>
      <c r="AJ10" s="11"/>
      <c r="AK10" s="12"/>
      <c r="AL10" s="13" t="s">
        <v>6</v>
      </c>
      <c r="AM10" s="12"/>
      <c r="AN10" s="1"/>
    </row>
    <row r="11" ht="15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ht="15.0" customHeight="1">
      <c r="A12" s="1"/>
      <c r="B12" s="14" t="s">
        <v>7</v>
      </c>
      <c r="C12" s="11"/>
      <c r="D12" s="11"/>
      <c r="E12" s="11"/>
      <c r="F12" s="12"/>
      <c r="G12" s="15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4" t="s">
        <v>8</v>
      </c>
      <c r="V12" s="11"/>
      <c r="W12" s="11"/>
      <c r="X12" s="11"/>
      <c r="Y12" s="11"/>
      <c r="Z12" s="12"/>
      <c r="AA12" s="15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2"/>
      <c r="AN12" s="1"/>
    </row>
    <row r="13" ht="15.0" customHeight="1">
      <c r="B13" s="14" t="s">
        <v>9</v>
      </c>
      <c r="C13" s="11"/>
      <c r="D13" s="11"/>
      <c r="E13" s="11"/>
      <c r="F13" s="12"/>
      <c r="G13" s="15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4" t="s">
        <v>10</v>
      </c>
      <c r="V13" s="11"/>
      <c r="W13" s="11"/>
      <c r="X13" s="11"/>
      <c r="Y13" s="11"/>
      <c r="Z13" s="12"/>
      <c r="AA13" s="15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2"/>
      <c r="AN13" s="1"/>
    </row>
    <row r="14" ht="15.0" customHeight="1">
      <c r="A14" s="1"/>
      <c r="B14" s="14" t="s">
        <v>11</v>
      </c>
      <c r="C14" s="11"/>
      <c r="D14" s="11"/>
      <c r="E14" s="11"/>
      <c r="F14" s="12"/>
      <c r="G14" s="15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4" t="s">
        <v>12</v>
      </c>
      <c r="V14" s="11"/>
      <c r="W14" s="11"/>
      <c r="X14" s="11"/>
      <c r="Y14" s="11"/>
      <c r="Z14" s="12"/>
      <c r="AA14" s="15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2"/>
      <c r="AN14" s="1"/>
    </row>
    <row r="15" ht="15.0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ht="15.0" customHeight="1">
      <c r="B16" s="16" t="s">
        <v>13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1"/>
      <c r="V16" s="17" t="s">
        <v>14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"/>
    </row>
    <row r="17" ht="15.0" customHeight="1">
      <c r="B17" s="20" t="s">
        <v>15</v>
      </c>
      <c r="C17" s="11"/>
      <c r="D17" s="11"/>
      <c r="E17" s="11"/>
      <c r="F17" s="11"/>
      <c r="G17" s="11"/>
      <c r="H17" s="11"/>
      <c r="I17" s="11"/>
      <c r="J17" s="12"/>
      <c r="K17" s="20" t="s">
        <v>16</v>
      </c>
      <c r="L17" s="11"/>
      <c r="M17" s="12"/>
      <c r="N17" s="20" t="s">
        <v>17</v>
      </c>
      <c r="O17" s="11"/>
      <c r="P17" s="11"/>
      <c r="Q17" s="11"/>
      <c r="R17" s="11"/>
      <c r="S17" s="12"/>
      <c r="T17" s="21"/>
      <c r="U17" s="1"/>
      <c r="V17" s="22" t="s">
        <v>18</v>
      </c>
      <c r="W17" s="18"/>
      <c r="X17" s="18"/>
      <c r="Y17" s="18"/>
      <c r="Z17" s="18"/>
      <c r="AA17" s="19"/>
      <c r="AB17" s="23"/>
      <c r="AC17" s="19"/>
      <c r="AD17" s="23"/>
      <c r="AE17" s="19"/>
      <c r="AF17" s="23"/>
      <c r="AG17" s="19"/>
      <c r="AH17" s="23"/>
      <c r="AI17" s="19"/>
      <c r="AJ17" s="23"/>
      <c r="AK17" s="19"/>
      <c r="AL17" s="23"/>
      <c r="AM17" s="19"/>
      <c r="AN17" s="1"/>
    </row>
    <row r="18" ht="15.0" customHeight="1">
      <c r="A18" s="1"/>
      <c r="B18" s="24" t="s">
        <v>19</v>
      </c>
      <c r="C18" s="11"/>
      <c r="D18" s="11"/>
      <c r="E18" s="11"/>
      <c r="F18" s="11"/>
      <c r="G18" s="11"/>
      <c r="H18" s="11"/>
      <c r="I18" s="11"/>
      <c r="J18" s="12"/>
      <c r="K18" s="25" t="s">
        <v>20</v>
      </c>
      <c r="L18" s="11"/>
      <c r="M18" s="12"/>
      <c r="N18" s="25"/>
      <c r="O18" s="11"/>
      <c r="P18" s="11"/>
      <c r="Q18" s="12"/>
      <c r="R18" s="25" t="s">
        <v>21</v>
      </c>
      <c r="S18" s="12"/>
      <c r="T18" s="26" t="s">
        <v>6</v>
      </c>
      <c r="U18" s="1"/>
      <c r="V18" s="27"/>
      <c r="W18" s="6"/>
      <c r="X18" s="6"/>
      <c r="Y18" s="6"/>
      <c r="Z18" s="6"/>
      <c r="AA18" s="28"/>
      <c r="AB18" s="27"/>
      <c r="AC18" s="28"/>
      <c r="AD18" s="27"/>
      <c r="AE18" s="28"/>
      <c r="AF18" s="27"/>
      <c r="AG18" s="28"/>
      <c r="AH18" s="27"/>
      <c r="AI18" s="28"/>
      <c r="AJ18" s="27"/>
      <c r="AK18" s="28"/>
      <c r="AL18" s="27"/>
      <c r="AM18" s="28"/>
      <c r="AN18" s="1"/>
    </row>
    <row r="19" ht="15.0" customHeight="1">
      <c r="B19" s="24" t="s">
        <v>22</v>
      </c>
      <c r="C19" s="11"/>
      <c r="D19" s="11"/>
      <c r="E19" s="11"/>
      <c r="F19" s="11"/>
      <c r="G19" s="11"/>
      <c r="H19" s="11"/>
      <c r="I19" s="11"/>
      <c r="J19" s="12"/>
      <c r="K19" s="25" t="s">
        <v>23</v>
      </c>
      <c r="L19" s="11"/>
      <c r="M19" s="12"/>
      <c r="N19" s="25"/>
      <c r="O19" s="11"/>
      <c r="P19" s="11"/>
      <c r="Q19" s="12"/>
      <c r="R19" s="29" t="s">
        <v>24</v>
      </c>
      <c r="S19" s="12"/>
      <c r="T19" s="26" t="s">
        <v>6</v>
      </c>
      <c r="U19" s="1"/>
      <c r="V19" s="24" t="s">
        <v>25</v>
      </c>
      <c r="W19" s="11"/>
      <c r="X19" s="11"/>
      <c r="Y19" s="11"/>
      <c r="Z19" s="11"/>
      <c r="AA19" s="12"/>
      <c r="AB19" s="30"/>
      <c r="AC19" s="12"/>
      <c r="AD19" s="24"/>
      <c r="AE19" s="12"/>
      <c r="AF19" s="24"/>
      <c r="AG19" s="12"/>
      <c r="AH19" s="24"/>
      <c r="AI19" s="12"/>
      <c r="AJ19" s="24"/>
      <c r="AK19" s="12"/>
      <c r="AL19" s="24"/>
      <c r="AM19" s="12"/>
      <c r="AN19" s="1"/>
    </row>
    <row r="20" ht="15.0" customHeight="1">
      <c r="V20" s="24" t="s">
        <v>26</v>
      </c>
      <c r="W20" s="11"/>
      <c r="X20" s="11"/>
      <c r="Y20" s="11"/>
      <c r="Z20" s="11"/>
      <c r="AA20" s="12"/>
      <c r="AB20" s="13" t="s">
        <v>6</v>
      </c>
      <c r="AC20" s="12"/>
      <c r="AD20" s="13" t="s">
        <v>6</v>
      </c>
      <c r="AE20" s="12"/>
      <c r="AF20" s="13" t="s">
        <v>6</v>
      </c>
      <c r="AG20" s="12"/>
      <c r="AH20" s="13" t="s">
        <v>6</v>
      </c>
      <c r="AI20" s="12"/>
      <c r="AJ20" s="13" t="s">
        <v>6</v>
      </c>
      <c r="AK20" s="12"/>
      <c r="AL20" s="13" t="s">
        <v>6</v>
      </c>
      <c r="AM20" s="12"/>
      <c r="AN20" s="1"/>
    </row>
    <row r="21" ht="15.0" customHeight="1">
      <c r="B21" s="16" t="s">
        <v>27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2"/>
      <c r="V21" s="22" t="s">
        <v>28</v>
      </c>
      <c r="W21" s="18"/>
      <c r="X21" s="18"/>
      <c r="Y21" s="18"/>
      <c r="Z21" s="18"/>
      <c r="AA21" s="19"/>
      <c r="AB21" s="23"/>
      <c r="AC21" s="19"/>
      <c r="AD21" s="23"/>
      <c r="AE21" s="19"/>
      <c r="AF21" s="23"/>
      <c r="AG21" s="19"/>
      <c r="AH21" s="23"/>
      <c r="AI21" s="19"/>
      <c r="AJ21" s="23"/>
      <c r="AK21" s="19"/>
      <c r="AL21" s="23"/>
      <c r="AM21" s="19"/>
      <c r="AN21" s="1"/>
    </row>
    <row r="22" ht="15.0" customHeight="1">
      <c r="B22" s="20" t="s">
        <v>15</v>
      </c>
      <c r="C22" s="11"/>
      <c r="D22" s="11"/>
      <c r="E22" s="11"/>
      <c r="F22" s="11"/>
      <c r="G22" s="11"/>
      <c r="H22" s="11"/>
      <c r="I22" s="11"/>
      <c r="J22" s="12"/>
      <c r="K22" s="20" t="s">
        <v>16</v>
      </c>
      <c r="L22" s="11"/>
      <c r="M22" s="12"/>
      <c r="N22" s="22" t="s">
        <v>17</v>
      </c>
      <c r="O22" s="18"/>
      <c r="P22" s="18"/>
      <c r="Q22" s="18"/>
      <c r="R22" s="18"/>
      <c r="S22" s="19"/>
      <c r="T22" s="21"/>
      <c r="V22" s="27"/>
      <c r="W22" s="6"/>
      <c r="X22" s="6"/>
      <c r="Y22" s="6"/>
      <c r="Z22" s="6"/>
      <c r="AA22" s="28"/>
      <c r="AB22" s="27"/>
      <c r="AC22" s="28"/>
      <c r="AD22" s="27"/>
      <c r="AE22" s="28"/>
      <c r="AF22" s="27"/>
      <c r="AG22" s="28"/>
      <c r="AH22" s="27"/>
      <c r="AI22" s="28"/>
      <c r="AJ22" s="27"/>
      <c r="AK22" s="28"/>
      <c r="AL22" s="27"/>
      <c r="AM22" s="28"/>
      <c r="AN22" s="1"/>
    </row>
    <row r="23" ht="15.0" customHeight="1">
      <c r="B23" s="24" t="s">
        <v>29</v>
      </c>
      <c r="C23" s="11"/>
      <c r="D23" s="11"/>
      <c r="E23" s="11"/>
      <c r="F23" s="11"/>
      <c r="G23" s="11"/>
      <c r="H23" s="11"/>
      <c r="I23" s="11"/>
      <c r="J23" s="12"/>
      <c r="K23" s="25" t="s">
        <v>30</v>
      </c>
      <c r="L23" s="11"/>
      <c r="M23" s="12"/>
      <c r="N23" s="25"/>
      <c r="O23" s="11"/>
      <c r="P23" s="11"/>
      <c r="Q23" s="11"/>
      <c r="R23" s="31" t="s">
        <v>31</v>
      </c>
      <c r="S23" s="12"/>
      <c r="T23" s="32" t="s">
        <v>6</v>
      </c>
      <c r="V23" s="24" t="s">
        <v>25</v>
      </c>
      <c r="W23" s="11"/>
      <c r="X23" s="11"/>
      <c r="Y23" s="11"/>
      <c r="Z23" s="11"/>
      <c r="AA23" s="12"/>
      <c r="AB23" s="30"/>
      <c r="AC23" s="12"/>
      <c r="AD23" s="24"/>
      <c r="AE23" s="12"/>
      <c r="AF23" s="24"/>
      <c r="AG23" s="12"/>
      <c r="AH23" s="24"/>
      <c r="AI23" s="12"/>
      <c r="AJ23" s="24"/>
      <c r="AK23" s="12"/>
      <c r="AL23" s="24"/>
      <c r="AM23" s="12"/>
      <c r="AN23" s="1"/>
    </row>
    <row r="24" ht="15.0" customHeight="1">
      <c r="B24" s="24" t="s">
        <v>32</v>
      </c>
      <c r="C24" s="11"/>
      <c r="D24" s="11"/>
      <c r="E24" s="11"/>
      <c r="F24" s="11"/>
      <c r="G24" s="11"/>
      <c r="H24" s="11"/>
      <c r="I24" s="11"/>
      <c r="J24" s="12"/>
      <c r="K24" s="25" t="s">
        <v>33</v>
      </c>
      <c r="L24" s="11"/>
      <c r="M24" s="12"/>
      <c r="N24" s="25"/>
      <c r="O24" s="11"/>
      <c r="P24" s="11"/>
      <c r="Q24" s="11"/>
      <c r="R24" s="33" t="s">
        <v>24</v>
      </c>
      <c r="S24" s="12"/>
      <c r="T24" s="32" t="s">
        <v>6</v>
      </c>
      <c r="V24" s="24" t="s">
        <v>26</v>
      </c>
      <c r="W24" s="11"/>
      <c r="X24" s="11"/>
      <c r="Y24" s="11"/>
      <c r="Z24" s="11"/>
      <c r="AA24" s="12"/>
      <c r="AB24" s="13" t="s">
        <v>6</v>
      </c>
      <c r="AC24" s="12"/>
      <c r="AD24" s="13" t="s">
        <v>6</v>
      </c>
      <c r="AE24" s="12"/>
      <c r="AF24" s="13" t="s">
        <v>6</v>
      </c>
      <c r="AG24" s="12"/>
      <c r="AH24" s="13" t="s">
        <v>6</v>
      </c>
      <c r="AI24" s="12"/>
      <c r="AJ24" s="13" t="s">
        <v>6</v>
      </c>
      <c r="AK24" s="12"/>
      <c r="AL24" s="13" t="s">
        <v>6</v>
      </c>
      <c r="AM24" s="12"/>
      <c r="AN24" s="1"/>
    </row>
    <row r="25" ht="15.0" customHeight="1">
      <c r="B25" s="24" t="s">
        <v>34</v>
      </c>
      <c r="C25" s="11"/>
      <c r="D25" s="11"/>
      <c r="E25" s="11"/>
      <c r="F25" s="11"/>
      <c r="G25" s="11"/>
      <c r="H25" s="11"/>
      <c r="I25" s="11"/>
      <c r="J25" s="12"/>
      <c r="K25" s="25" t="s">
        <v>33</v>
      </c>
      <c r="L25" s="11"/>
      <c r="M25" s="12"/>
      <c r="N25" s="25"/>
      <c r="O25" s="11"/>
      <c r="P25" s="11"/>
      <c r="Q25" s="11"/>
      <c r="R25" s="33" t="s">
        <v>24</v>
      </c>
      <c r="S25" s="12"/>
      <c r="T25" s="32" t="s">
        <v>6</v>
      </c>
      <c r="V25" s="22" t="s">
        <v>35</v>
      </c>
      <c r="W25" s="18"/>
      <c r="X25" s="18"/>
      <c r="Y25" s="18"/>
      <c r="Z25" s="18"/>
      <c r="AA25" s="19"/>
      <c r="AB25" s="23"/>
      <c r="AC25" s="19"/>
      <c r="AD25" s="23"/>
      <c r="AE25" s="19"/>
      <c r="AF25" s="23"/>
      <c r="AG25" s="19"/>
      <c r="AH25" s="23"/>
      <c r="AI25" s="19"/>
      <c r="AJ25" s="23"/>
      <c r="AK25" s="19"/>
      <c r="AL25" s="23"/>
      <c r="AM25" s="19"/>
      <c r="AN25" s="1"/>
    </row>
    <row r="26" ht="15.0" customHeight="1">
      <c r="B26" s="24" t="s">
        <v>36</v>
      </c>
      <c r="C26" s="11"/>
      <c r="D26" s="11"/>
      <c r="E26" s="11"/>
      <c r="F26" s="11"/>
      <c r="G26" s="11"/>
      <c r="H26" s="11"/>
      <c r="I26" s="11"/>
      <c r="J26" s="12"/>
      <c r="K26" s="25" t="s">
        <v>37</v>
      </c>
      <c r="L26" s="11"/>
      <c r="M26" s="12"/>
      <c r="N26" s="25"/>
      <c r="O26" s="11"/>
      <c r="P26" s="11"/>
      <c r="Q26" s="11"/>
      <c r="R26" s="34" t="s">
        <v>38</v>
      </c>
      <c r="S26" s="12"/>
      <c r="T26" s="32" t="s">
        <v>6</v>
      </c>
      <c r="U26" s="1"/>
      <c r="V26" s="27"/>
      <c r="W26" s="6"/>
      <c r="X26" s="6"/>
      <c r="Y26" s="6"/>
      <c r="Z26" s="6"/>
      <c r="AA26" s="28"/>
      <c r="AB26" s="27"/>
      <c r="AC26" s="28"/>
      <c r="AD26" s="27"/>
      <c r="AE26" s="28"/>
      <c r="AF26" s="27"/>
      <c r="AG26" s="28"/>
      <c r="AH26" s="27"/>
      <c r="AI26" s="28"/>
      <c r="AJ26" s="27"/>
      <c r="AK26" s="28"/>
      <c r="AL26" s="27"/>
      <c r="AM26" s="28"/>
      <c r="AN26" s="1"/>
    </row>
    <row r="27" ht="15.0" customHeight="1">
      <c r="B27" s="24" t="s">
        <v>39</v>
      </c>
      <c r="C27" s="11"/>
      <c r="D27" s="11"/>
      <c r="E27" s="11"/>
      <c r="F27" s="11"/>
      <c r="G27" s="11"/>
      <c r="H27" s="11"/>
      <c r="I27" s="11"/>
      <c r="J27" s="12"/>
      <c r="K27" s="25" t="s">
        <v>40</v>
      </c>
      <c r="L27" s="11"/>
      <c r="M27" s="12"/>
      <c r="N27" s="25"/>
      <c r="O27" s="11"/>
      <c r="P27" s="11"/>
      <c r="Q27" s="11"/>
      <c r="R27" s="34" t="s">
        <v>21</v>
      </c>
      <c r="S27" s="12"/>
      <c r="T27" s="32" t="s">
        <v>6</v>
      </c>
      <c r="U27" s="1"/>
      <c r="V27" s="24" t="s">
        <v>25</v>
      </c>
      <c r="W27" s="11"/>
      <c r="X27" s="11"/>
      <c r="Y27" s="11"/>
      <c r="Z27" s="11"/>
      <c r="AA27" s="12"/>
      <c r="AB27" s="30"/>
      <c r="AC27" s="12"/>
      <c r="AD27" s="24"/>
      <c r="AE27" s="12"/>
      <c r="AF27" s="24"/>
      <c r="AG27" s="12"/>
      <c r="AH27" s="24"/>
      <c r="AI27" s="12"/>
      <c r="AJ27" s="24"/>
      <c r="AK27" s="12"/>
      <c r="AL27" s="24"/>
      <c r="AM27" s="12"/>
      <c r="AN27" s="1"/>
    </row>
    <row r="28" ht="15.0" customHeight="1">
      <c r="A28" s="1"/>
      <c r="B28" s="24" t="s">
        <v>41</v>
      </c>
      <c r="C28" s="11"/>
      <c r="D28" s="11"/>
      <c r="E28" s="11"/>
      <c r="F28" s="11"/>
      <c r="G28" s="11"/>
      <c r="H28" s="11"/>
      <c r="I28" s="11"/>
      <c r="J28" s="12"/>
      <c r="K28" s="25" t="s">
        <v>42</v>
      </c>
      <c r="L28" s="11"/>
      <c r="M28" s="12"/>
      <c r="N28" s="25"/>
      <c r="O28" s="11"/>
      <c r="P28" s="11"/>
      <c r="Q28" s="11"/>
      <c r="R28" s="34" t="s">
        <v>21</v>
      </c>
      <c r="S28" s="12"/>
      <c r="T28" s="32" t="s">
        <v>6</v>
      </c>
      <c r="U28" s="1"/>
      <c r="V28" s="24" t="s">
        <v>26</v>
      </c>
      <c r="W28" s="11"/>
      <c r="X28" s="11"/>
      <c r="Y28" s="11"/>
      <c r="Z28" s="11"/>
      <c r="AA28" s="12"/>
      <c r="AB28" s="13" t="s">
        <v>6</v>
      </c>
      <c r="AC28" s="12"/>
      <c r="AD28" s="13" t="s">
        <v>6</v>
      </c>
      <c r="AE28" s="12"/>
      <c r="AF28" s="13" t="s">
        <v>6</v>
      </c>
      <c r="AG28" s="12"/>
      <c r="AH28" s="13" t="s">
        <v>6</v>
      </c>
      <c r="AI28" s="12"/>
      <c r="AJ28" s="13" t="s">
        <v>6</v>
      </c>
      <c r="AK28" s="12"/>
      <c r="AL28" s="13" t="s">
        <v>6</v>
      </c>
      <c r="AM28" s="12"/>
      <c r="AN28" s="1"/>
    </row>
    <row r="29" ht="15.0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ht="15.0" customHeight="1">
      <c r="B30" s="17" t="s">
        <v>43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9"/>
      <c r="U30" s="1"/>
      <c r="V30" s="17" t="s">
        <v>44</v>
      </c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9"/>
      <c r="AN30" s="1"/>
    </row>
    <row r="31" ht="15.0" customHeight="1">
      <c r="B31" s="24" t="s">
        <v>45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35"/>
      <c r="T31" s="36"/>
      <c r="U31" s="1"/>
      <c r="V31" s="22" t="s">
        <v>18</v>
      </c>
      <c r="W31" s="18"/>
      <c r="X31" s="18"/>
      <c r="Y31" s="18"/>
      <c r="Z31" s="18"/>
      <c r="AA31" s="19"/>
      <c r="AB31" s="23"/>
      <c r="AC31" s="19"/>
      <c r="AD31" s="23"/>
      <c r="AE31" s="19"/>
      <c r="AF31" s="23"/>
      <c r="AG31" s="19"/>
      <c r="AH31" s="23"/>
      <c r="AI31" s="19"/>
      <c r="AJ31" s="23"/>
      <c r="AK31" s="19"/>
      <c r="AL31" s="23"/>
      <c r="AM31" s="19"/>
      <c r="AN31" s="1"/>
    </row>
    <row r="32" ht="15.0" customHeight="1">
      <c r="B32" s="24" t="s">
        <v>46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35"/>
      <c r="T32" s="36"/>
      <c r="U32" s="1"/>
      <c r="V32" s="27"/>
      <c r="W32" s="6"/>
      <c r="X32" s="6"/>
      <c r="Y32" s="6"/>
      <c r="Z32" s="6"/>
      <c r="AA32" s="28"/>
      <c r="AB32" s="27"/>
      <c r="AC32" s="28"/>
      <c r="AD32" s="27"/>
      <c r="AE32" s="28"/>
      <c r="AF32" s="27"/>
      <c r="AG32" s="28"/>
      <c r="AH32" s="27"/>
      <c r="AI32" s="28"/>
      <c r="AJ32" s="27"/>
      <c r="AK32" s="28"/>
      <c r="AL32" s="27"/>
      <c r="AM32" s="28"/>
      <c r="AN32" s="1"/>
    </row>
    <row r="33" ht="15.0" customHeight="1">
      <c r="B33" s="24" t="s">
        <v>47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35"/>
      <c r="T33" s="36"/>
      <c r="U33" s="1"/>
      <c r="V33" s="24" t="s">
        <v>48</v>
      </c>
      <c r="W33" s="11"/>
      <c r="X33" s="11"/>
      <c r="Y33" s="11"/>
      <c r="Z33" s="11"/>
      <c r="AA33" s="12"/>
      <c r="AB33" s="30"/>
      <c r="AC33" s="12"/>
      <c r="AD33" s="24"/>
      <c r="AE33" s="12"/>
      <c r="AF33" s="24"/>
      <c r="AG33" s="12"/>
      <c r="AH33" s="24"/>
      <c r="AI33" s="12"/>
      <c r="AJ33" s="24"/>
      <c r="AK33" s="12"/>
      <c r="AL33" s="24"/>
      <c r="AM33" s="12"/>
      <c r="AN33" s="1"/>
    </row>
    <row r="34" ht="15.0" customHeight="1">
      <c r="B34" s="24" t="s">
        <v>49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35"/>
      <c r="T34" s="36"/>
      <c r="U34" s="1"/>
      <c r="V34" s="24" t="s">
        <v>26</v>
      </c>
      <c r="W34" s="11"/>
      <c r="X34" s="11"/>
      <c r="Y34" s="11"/>
      <c r="Z34" s="11"/>
      <c r="AA34" s="12"/>
      <c r="AB34" s="13" t="s">
        <v>6</v>
      </c>
      <c r="AC34" s="12"/>
      <c r="AD34" s="13" t="s">
        <v>6</v>
      </c>
      <c r="AE34" s="12"/>
      <c r="AF34" s="13" t="s">
        <v>6</v>
      </c>
      <c r="AG34" s="12"/>
      <c r="AH34" s="13" t="s">
        <v>6</v>
      </c>
      <c r="AI34" s="12"/>
      <c r="AJ34" s="13" t="s">
        <v>6</v>
      </c>
      <c r="AK34" s="12"/>
      <c r="AL34" s="13" t="s">
        <v>6</v>
      </c>
      <c r="AM34" s="12"/>
      <c r="AN34" s="1"/>
    </row>
    <row r="35" ht="15.0" customHeight="1">
      <c r="B35" s="24" t="s">
        <v>50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35"/>
      <c r="T35" s="36"/>
      <c r="U35" s="1"/>
      <c r="V35" s="22" t="s">
        <v>28</v>
      </c>
      <c r="W35" s="18"/>
      <c r="X35" s="18"/>
      <c r="Y35" s="18"/>
      <c r="Z35" s="18"/>
      <c r="AA35" s="19"/>
      <c r="AB35" s="23"/>
      <c r="AC35" s="19"/>
      <c r="AD35" s="23"/>
      <c r="AE35" s="19"/>
      <c r="AF35" s="23"/>
      <c r="AG35" s="19"/>
      <c r="AH35" s="23"/>
      <c r="AI35" s="19"/>
      <c r="AJ35" s="23"/>
      <c r="AK35" s="19"/>
      <c r="AL35" s="23"/>
      <c r="AM35" s="19"/>
      <c r="AN35" s="1"/>
    </row>
    <row r="36" ht="15.0" customHeight="1">
      <c r="B36" s="24" t="s">
        <v>51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35"/>
      <c r="T36" s="36"/>
      <c r="U36" s="1"/>
      <c r="V36" s="27"/>
      <c r="W36" s="6"/>
      <c r="X36" s="6"/>
      <c r="Y36" s="6"/>
      <c r="Z36" s="6"/>
      <c r="AA36" s="28"/>
      <c r="AB36" s="27"/>
      <c r="AC36" s="28"/>
      <c r="AD36" s="27"/>
      <c r="AE36" s="28"/>
      <c r="AF36" s="27"/>
      <c r="AG36" s="28"/>
      <c r="AH36" s="27"/>
      <c r="AI36" s="28"/>
      <c r="AJ36" s="27"/>
      <c r="AK36" s="28"/>
      <c r="AL36" s="27"/>
      <c r="AM36" s="28"/>
      <c r="AN36" s="1"/>
    </row>
    <row r="37" ht="15.0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24" t="s">
        <v>48</v>
      </c>
      <c r="W37" s="11"/>
      <c r="X37" s="11"/>
      <c r="Y37" s="11"/>
      <c r="Z37" s="11"/>
      <c r="AA37" s="12"/>
      <c r="AB37" s="30"/>
      <c r="AC37" s="12"/>
      <c r="AD37" s="24"/>
      <c r="AE37" s="12"/>
      <c r="AF37" s="24"/>
      <c r="AG37" s="12"/>
      <c r="AH37" s="24"/>
      <c r="AI37" s="12"/>
      <c r="AJ37" s="24"/>
      <c r="AK37" s="12"/>
      <c r="AL37" s="24"/>
      <c r="AM37" s="12"/>
      <c r="AN37" s="1"/>
    </row>
    <row r="38" ht="15.0" customHeight="1">
      <c r="B38" s="17" t="s">
        <v>52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9"/>
      <c r="U38" s="1"/>
      <c r="V38" s="24" t="s">
        <v>26</v>
      </c>
      <c r="W38" s="11"/>
      <c r="X38" s="11"/>
      <c r="Y38" s="11"/>
      <c r="Z38" s="11"/>
      <c r="AA38" s="12"/>
      <c r="AB38" s="13" t="s">
        <v>6</v>
      </c>
      <c r="AC38" s="12"/>
      <c r="AD38" s="13" t="s">
        <v>6</v>
      </c>
      <c r="AE38" s="12"/>
      <c r="AF38" s="13" t="s">
        <v>6</v>
      </c>
      <c r="AG38" s="12"/>
      <c r="AH38" s="13" t="s">
        <v>6</v>
      </c>
      <c r="AI38" s="12"/>
      <c r="AJ38" s="13" t="s">
        <v>6</v>
      </c>
      <c r="AK38" s="12"/>
      <c r="AL38" s="13" t="s">
        <v>6</v>
      </c>
      <c r="AM38" s="12"/>
      <c r="AN38" s="1"/>
    </row>
    <row r="39" ht="15.0" customHeight="1">
      <c r="B39" s="24" t="s">
        <v>53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35"/>
      <c r="T39" s="36"/>
      <c r="U39" s="1"/>
      <c r="V39" s="22" t="s">
        <v>35</v>
      </c>
      <c r="W39" s="18"/>
      <c r="X39" s="18"/>
      <c r="Y39" s="18"/>
      <c r="Z39" s="18"/>
      <c r="AA39" s="19"/>
      <c r="AB39" s="23"/>
      <c r="AC39" s="19"/>
      <c r="AD39" s="23"/>
      <c r="AE39" s="19"/>
      <c r="AF39" s="23"/>
      <c r="AG39" s="19"/>
      <c r="AH39" s="23"/>
      <c r="AI39" s="19"/>
      <c r="AJ39" s="23"/>
      <c r="AK39" s="19"/>
      <c r="AL39" s="23"/>
      <c r="AM39" s="19"/>
      <c r="AN39" s="1"/>
    </row>
    <row r="40" ht="15.0" customHeight="1">
      <c r="B40" s="24" t="s">
        <v>54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35"/>
      <c r="T40" s="36"/>
      <c r="U40" s="1"/>
      <c r="V40" s="27"/>
      <c r="W40" s="6"/>
      <c r="X40" s="6"/>
      <c r="Y40" s="6"/>
      <c r="Z40" s="6"/>
      <c r="AA40" s="28"/>
      <c r="AB40" s="27"/>
      <c r="AC40" s="28"/>
      <c r="AD40" s="27"/>
      <c r="AE40" s="28"/>
      <c r="AF40" s="27"/>
      <c r="AG40" s="28"/>
      <c r="AH40" s="27"/>
      <c r="AI40" s="28"/>
      <c r="AJ40" s="27"/>
      <c r="AK40" s="28"/>
      <c r="AL40" s="27"/>
      <c r="AM40" s="28"/>
      <c r="AN40" s="1"/>
    </row>
    <row r="41" ht="15.0" customHeight="1">
      <c r="B41" s="24" t="s">
        <v>55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35"/>
      <c r="T41" s="37"/>
      <c r="U41" s="1"/>
      <c r="V41" s="24" t="s">
        <v>48</v>
      </c>
      <c r="W41" s="11"/>
      <c r="X41" s="11"/>
      <c r="Y41" s="11"/>
      <c r="Z41" s="11"/>
      <c r="AA41" s="12"/>
      <c r="AB41" s="30"/>
      <c r="AC41" s="12"/>
      <c r="AD41" s="24"/>
      <c r="AE41" s="12"/>
      <c r="AF41" s="24"/>
      <c r="AG41" s="12"/>
      <c r="AH41" s="24"/>
      <c r="AI41" s="12"/>
      <c r="AJ41" s="24"/>
      <c r="AK41" s="12"/>
      <c r="AL41" s="24"/>
      <c r="AM41" s="12"/>
      <c r="AN41" s="1"/>
    </row>
    <row r="42" ht="15.0" customHeight="1">
      <c r="B42" s="24" t="s">
        <v>56</v>
      </c>
      <c r="C42" s="11"/>
      <c r="D42" s="11"/>
      <c r="E42" s="12"/>
      <c r="F42" s="24" t="s">
        <v>57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2"/>
      <c r="T42" s="38" t="s">
        <v>31</v>
      </c>
      <c r="U42" s="1"/>
      <c r="V42" s="24" t="s">
        <v>26</v>
      </c>
      <c r="W42" s="11"/>
      <c r="X42" s="11"/>
      <c r="Y42" s="11"/>
      <c r="Z42" s="11"/>
      <c r="AA42" s="12"/>
      <c r="AB42" s="13" t="s">
        <v>6</v>
      </c>
      <c r="AC42" s="12"/>
      <c r="AD42" s="13" t="s">
        <v>6</v>
      </c>
      <c r="AE42" s="12"/>
      <c r="AF42" s="13" t="s">
        <v>6</v>
      </c>
      <c r="AG42" s="12"/>
      <c r="AH42" s="13" t="s">
        <v>6</v>
      </c>
      <c r="AI42" s="12"/>
      <c r="AJ42" s="13" t="s">
        <v>6</v>
      </c>
      <c r="AK42" s="12"/>
      <c r="AL42" s="13" t="s">
        <v>6</v>
      </c>
      <c r="AM42" s="12"/>
      <c r="AN42" s="1"/>
    </row>
    <row r="43" ht="15.0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ht="15.0" customHeight="1">
      <c r="A44" s="1"/>
      <c r="B44" s="39" t="s">
        <v>58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2"/>
      <c r="AN44" s="1"/>
    </row>
    <row r="45" ht="15.0" customHeight="1">
      <c r="B45" s="20" t="s">
        <v>59</v>
      </c>
      <c r="C45" s="11"/>
      <c r="D45" s="11"/>
      <c r="E45" s="11"/>
      <c r="F45" s="11"/>
      <c r="G45" s="11"/>
      <c r="H45" s="11"/>
      <c r="I45" s="11"/>
      <c r="J45" s="11"/>
      <c r="K45" s="12"/>
      <c r="L45" s="20" t="s">
        <v>8</v>
      </c>
      <c r="M45" s="11"/>
      <c r="N45" s="11"/>
      <c r="O45" s="11"/>
      <c r="P45" s="11"/>
      <c r="Q45" s="11"/>
      <c r="R45" s="11"/>
      <c r="S45" s="11"/>
      <c r="T45" s="12"/>
      <c r="U45" s="20" t="s">
        <v>10</v>
      </c>
      <c r="V45" s="11"/>
      <c r="W45" s="11"/>
      <c r="X45" s="11"/>
      <c r="Y45" s="11"/>
      <c r="Z45" s="11"/>
      <c r="AA45" s="11"/>
      <c r="AB45" s="11"/>
      <c r="AC45" s="12"/>
      <c r="AD45" s="20" t="s">
        <v>60</v>
      </c>
      <c r="AE45" s="11"/>
      <c r="AF45" s="11"/>
      <c r="AG45" s="11"/>
      <c r="AH45" s="11"/>
      <c r="AI45" s="11"/>
      <c r="AJ45" s="11"/>
      <c r="AK45" s="11"/>
      <c r="AL45" s="11"/>
      <c r="AM45" s="12"/>
      <c r="AN45" s="1"/>
    </row>
    <row r="46" ht="15.0" customHeight="1">
      <c r="A46" s="40" t="s">
        <v>61</v>
      </c>
      <c r="B46" s="41" t="str">
        <f t="shared" ref="B46:B48" si="1">IFERROR(VLOOKUP(A46,catalogoAnalizadores!A:E,2,FALSE),"")</f>
        <v/>
      </c>
      <c r="C46" s="11"/>
      <c r="D46" s="11"/>
      <c r="E46" s="11"/>
      <c r="F46" s="11"/>
      <c r="G46" s="11"/>
      <c r="H46" s="11"/>
      <c r="I46" s="11"/>
      <c r="J46" s="11"/>
      <c r="K46" s="12"/>
      <c r="L46" s="41" t="str">
        <f t="shared" ref="L46:L48" si="2">IFERROR(VLOOKUP(A46,catalogoAnalizadores!A:E,3,FALSE),"")</f>
        <v/>
      </c>
      <c r="M46" s="11"/>
      <c r="N46" s="11"/>
      <c r="O46" s="11"/>
      <c r="P46" s="11"/>
      <c r="Q46" s="11"/>
      <c r="R46" s="11"/>
      <c r="S46" s="11"/>
      <c r="T46" s="12"/>
      <c r="U46" s="41" t="str">
        <f t="shared" ref="U46:U48" si="3">IFERROR(VLOOKUP(A46,catalogoAnalizadores!A:E,4,FALSE),"")</f>
        <v/>
      </c>
      <c r="V46" s="11"/>
      <c r="W46" s="11"/>
      <c r="X46" s="11"/>
      <c r="Y46" s="11"/>
      <c r="Z46" s="11"/>
      <c r="AA46" s="11"/>
      <c r="AB46" s="11"/>
      <c r="AC46" s="12"/>
      <c r="AD46" s="41" t="str">
        <f t="shared" ref="AD46:AD48" si="4">IFERROR(VLOOKUP(A46,catalogoAnalizadores!A:E,5,FALSE),"")</f>
        <v/>
      </c>
      <c r="AE46" s="11"/>
      <c r="AF46" s="11"/>
      <c r="AG46" s="11"/>
      <c r="AH46" s="11"/>
      <c r="AI46" s="11"/>
      <c r="AJ46" s="11"/>
      <c r="AK46" s="11"/>
      <c r="AL46" s="11"/>
      <c r="AM46" s="12"/>
      <c r="AN46" s="1"/>
    </row>
    <row r="47" ht="15.0" customHeight="1">
      <c r="A47" s="40" t="s">
        <v>61</v>
      </c>
      <c r="B47" s="41" t="str">
        <f t="shared" si="1"/>
        <v/>
      </c>
      <c r="C47" s="11"/>
      <c r="D47" s="11"/>
      <c r="E47" s="11"/>
      <c r="F47" s="11"/>
      <c r="G47" s="11"/>
      <c r="H47" s="11"/>
      <c r="I47" s="11"/>
      <c r="J47" s="11"/>
      <c r="K47" s="12"/>
      <c r="L47" s="41" t="str">
        <f t="shared" si="2"/>
        <v/>
      </c>
      <c r="M47" s="11"/>
      <c r="N47" s="11"/>
      <c r="O47" s="11"/>
      <c r="P47" s="11"/>
      <c r="Q47" s="11"/>
      <c r="R47" s="11"/>
      <c r="S47" s="11"/>
      <c r="T47" s="12"/>
      <c r="U47" s="41" t="str">
        <f t="shared" si="3"/>
        <v/>
      </c>
      <c r="V47" s="11"/>
      <c r="W47" s="11"/>
      <c r="X47" s="11"/>
      <c r="Y47" s="11"/>
      <c r="Z47" s="11"/>
      <c r="AA47" s="11"/>
      <c r="AB47" s="11"/>
      <c r="AC47" s="12"/>
      <c r="AD47" s="41" t="str">
        <f t="shared" si="4"/>
        <v/>
      </c>
      <c r="AE47" s="11"/>
      <c r="AF47" s="11"/>
      <c r="AG47" s="11"/>
      <c r="AH47" s="11"/>
      <c r="AI47" s="11"/>
      <c r="AJ47" s="11"/>
      <c r="AK47" s="11"/>
      <c r="AL47" s="11"/>
      <c r="AM47" s="12"/>
      <c r="AN47" s="1"/>
    </row>
    <row r="48" ht="15.0" customHeight="1">
      <c r="A48" s="40" t="s">
        <v>61</v>
      </c>
      <c r="B48" s="25" t="str">
        <f t="shared" si="1"/>
        <v/>
      </c>
      <c r="C48" s="11"/>
      <c r="D48" s="11"/>
      <c r="E48" s="11"/>
      <c r="F48" s="11"/>
      <c r="G48" s="11"/>
      <c r="H48" s="11"/>
      <c r="I48" s="11"/>
      <c r="J48" s="11"/>
      <c r="K48" s="12"/>
      <c r="L48" s="25" t="str">
        <f t="shared" si="2"/>
        <v/>
      </c>
      <c r="M48" s="11"/>
      <c r="N48" s="11"/>
      <c r="O48" s="11"/>
      <c r="P48" s="11"/>
      <c r="Q48" s="11"/>
      <c r="R48" s="11"/>
      <c r="S48" s="11"/>
      <c r="T48" s="12"/>
      <c r="U48" s="25" t="str">
        <f t="shared" si="3"/>
        <v/>
      </c>
      <c r="V48" s="11"/>
      <c r="W48" s="11"/>
      <c r="X48" s="11"/>
      <c r="Y48" s="11"/>
      <c r="Z48" s="11"/>
      <c r="AA48" s="11"/>
      <c r="AB48" s="11"/>
      <c r="AC48" s="12"/>
      <c r="AD48" s="41" t="str">
        <f t="shared" si="4"/>
        <v/>
      </c>
      <c r="AE48" s="11"/>
      <c r="AF48" s="11"/>
      <c r="AG48" s="11"/>
      <c r="AH48" s="11"/>
      <c r="AI48" s="11"/>
      <c r="AJ48" s="11"/>
      <c r="AK48" s="11"/>
      <c r="AL48" s="11"/>
      <c r="AM48" s="12"/>
      <c r="AN48" s="1"/>
    </row>
    <row r="49" ht="15.0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ht="15.0" customHeight="1">
      <c r="B50" s="39" t="s">
        <v>62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2"/>
      <c r="AN50" s="1"/>
    </row>
    <row r="51" ht="15.0" customHeight="1">
      <c r="A51" s="1"/>
      <c r="B51" s="25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2"/>
      <c r="AN51" s="1"/>
    </row>
    <row r="52" ht="15.0" customHeight="1">
      <c r="A52" s="1"/>
      <c r="B52" s="25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2"/>
      <c r="AN52" s="1"/>
    </row>
    <row r="53" ht="15.0" customHeight="1">
      <c r="A53" s="1"/>
      <c r="B53" s="25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2"/>
      <c r="AN53" s="1"/>
    </row>
    <row r="54" ht="15.0" customHeight="1">
      <c r="B54" s="25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2"/>
      <c r="AN54" s="1"/>
    </row>
    <row r="55" ht="15.0" customHeight="1">
      <c r="AN55" s="1"/>
    </row>
    <row r="56" ht="15.0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ht="15.0" customHeight="1">
      <c r="M57" s="7"/>
      <c r="N57" s="7"/>
      <c r="O57" s="1"/>
      <c r="AB57" s="7"/>
      <c r="AC57" s="1"/>
      <c r="AD57" s="7"/>
      <c r="AN57" s="1"/>
    </row>
    <row r="58" ht="27.0" customHeight="1">
      <c r="B58" s="42" t="s">
        <v>63</v>
      </c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"/>
      <c r="N58" s="1"/>
      <c r="O58" s="1"/>
      <c r="P58" s="1"/>
      <c r="Q58" s="42" t="s">
        <v>64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"/>
      <c r="AC58" s="1"/>
      <c r="AD58" s="42" t="s">
        <v>65</v>
      </c>
      <c r="AE58" s="18"/>
      <c r="AF58" s="18"/>
      <c r="AG58" s="18"/>
      <c r="AH58" s="18"/>
      <c r="AI58" s="18"/>
      <c r="AJ58" s="18"/>
      <c r="AK58" s="18"/>
      <c r="AL58" s="18"/>
      <c r="AM58" s="18"/>
      <c r="AN58" s="1"/>
    </row>
    <row r="59" ht="15.0" customHeight="1">
      <c r="AN59" s="1"/>
    </row>
    <row r="60" ht="15.0" customHeight="1">
      <c r="A60" s="1"/>
      <c r="AN60" s="1"/>
    </row>
    <row r="61" ht="15.0" customHeight="1">
      <c r="AN61" s="1"/>
    </row>
    <row r="62" ht="15.0" customHeight="1"/>
    <row r="63" ht="15.0" customHeight="1">
      <c r="AN63" s="1"/>
    </row>
    <row r="64" ht="15.0" customHeight="1">
      <c r="AN64" s="1"/>
    </row>
    <row r="65" ht="15.0" customHeight="1">
      <c r="AN65" s="1"/>
    </row>
    <row r="66" ht="15.0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ht="15.0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ht="15.0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ht="15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ht="15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ht="15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ht="15.0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ht="15.75" customHeight="1">
      <c r="A108" s="1"/>
      <c r="B108" s="1"/>
    </row>
    <row r="109" ht="15.75" customHeight="1">
      <c r="A109" s="1"/>
      <c r="B109" s="1"/>
    </row>
    <row r="110" ht="15.75" customHeight="1">
      <c r="A110" s="1"/>
      <c r="B110" s="1"/>
    </row>
    <row r="111" ht="15.75" customHeight="1">
      <c r="A111" s="1"/>
      <c r="B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AB34:AC34"/>
    <mergeCell ref="AD34:AE34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AB39:AC40"/>
    <mergeCell ref="AD39:AE40"/>
    <mergeCell ref="AF39:AG40"/>
    <mergeCell ref="AH39:AI40"/>
    <mergeCell ref="AJ39:AK40"/>
    <mergeCell ref="AL39:AM40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42:AA42"/>
    <mergeCell ref="AB42:AC42"/>
    <mergeCell ref="AD42:AE42"/>
    <mergeCell ref="AF42:AG42"/>
    <mergeCell ref="AH42:AI42"/>
    <mergeCell ref="AJ42:AK42"/>
    <mergeCell ref="AL42:AM42"/>
    <mergeCell ref="V39:AA40"/>
    <mergeCell ref="AB41:AC41"/>
    <mergeCell ref="AD41:AE41"/>
    <mergeCell ref="AF41:AG41"/>
    <mergeCell ref="AH41:AI41"/>
    <mergeCell ref="AJ41:AK41"/>
    <mergeCell ref="AL41:AM41"/>
  </mergeCells>
  <dataValidations>
    <dataValidation type="list" allowBlank="1" showErrorMessage="1" sqref="AL10 T18:T19 AB20 AD20 AF20 AH20 AJ20 AL20 AB24 AD24 AF24 AH24 AJ24 AL24 T23:T28 AB28 AD28 AF28 AH28 AJ28 AL28 AB34 AD34 AF34 AH34 AJ34 AL34 T31:T36 AB38 AD38 AF38 AH38 AJ38 AL38 T39:T41 AB42 AD42 AF42 AH42 AJ42 AL42">
      <formula1>"✓,✖,N/A"</formula1>
    </dataValidation>
    <dataValidation type="list" allowBlank="1" sqref="A46:A48">
      <formula1>catalogoAnalizadores!$A$2:$A1000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.86"/>
    <col customWidth="1" min="3" max="3" width="4.57"/>
    <col customWidth="1" min="4" max="5" width="1.86"/>
    <col customWidth="1" min="6" max="6" width="7.14"/>
    <col customWidth="1" min="7" max="10" width="1.86"/>
    <col customWidth="1" min="11" max="13" width="2.71"/>
    <col customWidth="1" min="14" max="17" width="3.14"/>
    <col customWidth="1" min="18" max="18" width="7.86"/>
    <col customWidth="1" min="19" max="19" width="3.14"/>
    <col customWidth="1" min="20" max="20" width="9.57"/>
    <col customWidth="1" min="21" max="27" width="2.71"/>
    <col customWidth="1" min="28" max="28" width="4.57"/>
    <col customWidth="1" min="29" max="31" width="5.0"/>
    <col customWidth="1" min="32" max="32" width="3.29"/>
    <col customWidth="1" min="33" max="35" width="5.0"/>
    <col customWidth="1" min="36" max="36" width="3.57"/>
    <col customWidth="1" min="37" max="37" width="8.71"/>
    <col customWidth="1" min="38" max="38" width="5.0"/>
    <col customWidth="1" min="39" max="39" width="9.57"/>
    <col customWidth="1" min="40" max="40" width="5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ht="15.0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ht="15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ht="17.25" customHeight="1">
      <c r="A8" s="1"/>
      <c r="B8" s="2" t="s">
        <v>66</v>
      </c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"/>
      <c r="AG8" s="6"/>
      <c r="AH8" s="6"/>
      <c r="AI8" s="6"/>
      <c r="AJ8" s="6"/>
      <c r="AK8" s="6"/>
      <c r="AL8" s="6"/>
      <c r="AM8" s="6"/>
    </row>
    <row r="9" ht="15.0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7"/>
      <c r="AE9" s="1"/>
      <c r="AF9" s="1"/>
      <c r="AG9" s="1"/>
      <c r="AH9" s="1"/>
      <c r="AI9" s="1"/>
      <c r="AJ9" s="1"/>
      <c r="AK9" s="1"/>
      <c r="AL9" s="1"/>
      <c r="AM9" s="1"/>
    </row>
    <row r="10" ht="18.75" customHeight="1">
      <c r="A10" s="1"/>
      <c r="B10" s="7" t="s">
        <v>2</v>
      </c>
      <c r="D10" s="8" t="str">
        <f> TEXT(DATE(YEAR(TODAY()), MONTH(TODAY()), 25), "dd/mmm/yyyy")</f>
        <v>25/jul/2026</v>
      </c>
      <c r="I10" s="1"/>
      <c r="J10" s="1"/>
      <c r="K10" s="1"/>
      <c r="L10" s="1"/>
      <c r="M10" s="1"/>
      <c r="N10" s="1"/>
      <c r="O10" s="9"/>
      <c r="S10" s="4" t="s">
        <v>3</v>
      </c>
      <c r="Y10" s="1" t="s">
        <v>4</v>
      </c>
      <c r="AB10" s="1"/>
      <c r="AC10" s="1"/>
      <c r="AD10" s="1"/>
      <c r="AE10" s="1"/>
      <c r="AF10" s="1"/>
      <c r="AG10" s="1"/>
      <c r="AI10" s="10" t="s">
        <v>5</v>
      </c>
      <c r="AJ10" s="11"/>
      <c r="AK10" s="12"/>
      <c r="AL10" s="13" t="s">
        <v>6</v>
      </c>
      <c r="AM10" s="12"/>
      <c r="AN10" s="1"/>
    </row>
    <row r="11" ht="15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ht="15.0" customHeight="1">
      <c r="A12" s="1"/>
      <c r="B12" s="14" t="s">
        <v>7</v>
      </c>
      <c r="C12" s="11"/>
      <c r="D12" s="11"/>
      <c r="E12" s="11"/>
      <c r="F12" s="12"/>
      <c r="G12" s="15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4" t="s">
        <v>8</v>
      </c>
      <c r="V12" s="11"/>
      <c r="W12" s="11"/>
      <c r="X12" s="11"/>
      <c r="Y12" s="11"/>
      <c r="Z12" s="12"/>
      <c r="AA12" s="15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2"/>
      <c r="AN12" s="1"/>
    </row>
    <row r="13" ht="15.0" customHeight="1">
      <c r="B13" s="14" t="s">
        <v>9</v>
      </c>
      <c r="C13" s="11"/>
      <c r="D13" s="11"/>
      <c r="E13" s="11"/>
      <c r="F13" s="12"/>
      <c r="G13" s="15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4" t="s">
        <v>10</v>
      </c>
      <c r="V13" s="11"/>
      <c r="W13" s="11"/>
      <c r="X13" s="11"/>
      <c r="Y13" s="11"/>
      <c r="Z13" s="12"/>
      <c r="AA13" s="15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2"/>
      <c r="AN13" s="1"/>
    </row>
    <row r="14" ht="15.0" customHeight="1">
      <c r="A14" s="1"/>
      <c r="B14" s="14" t="s">
        <v>11</v>
      </c>
      <c r="C14" s="11"/>
      <c r="D14" s="11"/>
      <c r="E14" s="11"/>
      <c r="F14" s="12"/>
      <c r="G14" s="15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4" t="s">
        <v>12</v>
      </c>
      <c r="V14" s="11"/>
      <c r="W14" s="11"/>
      <c r="X14" s="11"/>
      <c r="Y14" s="11"/>
      <c r="Z14" s="12"/>
      <c r="AA14" s="15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2"/>
      <c r="AN14" s="1"/>
    </row>
    <row r="15" ht="15.0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ht="15.0" customHeight="1">
      <c r="B16" s="16" t="s">
        <v>67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1"/>
      <c r="V16" s="43" t="s">
        <v>27</v>
      </c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2"/>
      <c r="AN16" s="1"/>
    </row>
    <row r="17" ht="15.0" customHeight="1">
      <c r="B17" s="24" t="s">
        <v>68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2"/>
      <c r="T17" s="26" t="s">
        <v>6</v>
      </c>
      <c r="U17" s="1"/>
      <c r="V17" s="44" t="s">
        <v>15</v>
      </c>
      <c r="W17" s="11"/>
      <c r="X17" s="11"/>
      <c r="Y17" s="11"/>
      <c r="Z17" s="11"/>
      <c r="AA17" s="11"/>
      <c r="AB17" s="11"/>
      <c r="AC17" s="11"/>
      <c r="AD17" s="12"/>
      <c r="AE17" s="44" t="s">
        <v>16</v>
      </c>
      <c r="AF17" s="11"/>
      <c r="AG17" s="12"/>
      <c r="AH17" s="45" t="s">
        <v>17</v>
      </c>
      <c r="AI17" s="18"/>
      <c r="AJ17" s="18"/>
      <c r="AK17" s="18"/>
      <c r="AL17" s="19"/>
      <c r="AM17" s="46"/>
      <c r="AN17" s="1"/>
    </row>
    <row r="18" ht="15.0" customHeight="1">
      <c r="A18" s="1"/>
      <c r="B18" s="24" t="s">
        <v>69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2"/>
      <c r="T18" s="26" t="s">
        <v>6</v>
      </c>
      <c r="U18" s="1"/>
      <c r="V18" s="47" t="s">
        <v>70</v>
      </c>
      <c r="W18" s="11"/>
      <c r="X18" s="11"/>
      <c r="Y18" s="11"/>
      <c r="Z18" s="11"/>
      <c r="AA18" s="11"/>
      <c r="AB18" s="11"/>
      <c r="AC18" s="11"/>
      <c r="AD18" s="12"/>
      <c r="AE18" s="48" t="s">
        <v>30</v>
      </c>
      <c r="AF18" s="11"/>
      <c r="AG18" s="12"/>
      <c r="AH18" s="49"/>
      <c r="AI18" s="18"/>
      <c r="AJ18" s="18"/>
      <c r="AK18" s="18"/>
      <c r="AL18" s="50" t="s">
        <v>31</v>
      </c>
      <c r="AM18" s="51" t="s">
        <v>6</v>
      </c>
      <c r="AN18" s="1"/>
    </row>
    <row r="19" ht="15.0" customHeight="1">
      <c r="B19" s="24" t="s">
        <v>71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2"/>
      <c r="T19" s="26" t="s">
        <v>6</v>
      </c>
      <c r="U19" s="1"/>
      <c r="V19" s="47" t="s">
        <v>72</v>
      </c>
      <c r="W19" s="11"/>
      <c r="X19" s="11"/>
      <c r="Y19" s="11"/>
      <c r="Z19" s="11"/>
      <c r="AA19" s="11"/>
      <c r="AB19" s="11"/>
      <c r="AC19" s="11"/>
      <c r="AD19" s="12"/>
      <c r="AE19" s="48" t="s">
        <v>33</v>
      </c>
      <c r="AF19" s="11"/>
      <c r="AG19" s="12"/>
      <c r="AH19" s="49"/>
      <c r="AI19" s="18"/>
      <c r="AJ19" s="18"/>
      <c r="AK19" s="18"/>
      <c r="AL19" s="52" t="s">
        <v>24</v>
      </c>
      <c r="AM19" s="51" t="s">
        <v>6</v>
      </c>
      <c r="AN19" s="1"/>
    </row>
    <row r="20" ht="15.0" customHeight="1">
      <c r="B20" s="24" t="s">
        <v>73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2"/>
      <c r="T20" s="26" t="s">
        <v>6</v>
      </c>
      <c r="V20" s="47" t="s">
        <v>74</v>
      </c>
      <c r="W20" s="11"/>
      <c r="X20" s="11"/>
      <c r="Y20" s="11"/>
      <c r="Z20" s="11"/>
      <c r="AA20" s="11"/>
      <c r="AB20" s="11"/>
      <c r="AC20" s="11"/>
      <c r="AD20" s="12"/>
      <c r="AE20" s="48" t="s">
        <v>33</v>
      </c>
      <c r="AF20" s="11"/>
      <c r="AG20" s="12"/>
      <c r="AH20" s="47"/>
      <c r="AI20" s="11"/>
      <c r="AJ20" s="11"/>
      <c r="AK20" s="11"/>
      <c r="AL20" s="53" t="s">
        <v>24</v>
      </c>
      <c r="AM20" s="51" t="s">
        <v>6</v>
      </c>
      <c r="AN20" s="1"/>
    </row>
    <row r="21" ht="15.0" customHeight="1">
      <c r="B21" s="24" t="s">
        <v>75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2"/>
      <c r="T21" s="26" t="s">
        <v>6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ht="15.0" customHeight="1">
      <c r="B22" s="24" t="s">
        <v>76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2"/>
      <c r="T22" s="26" t="s">
        <v>6</v>
      </c>
      <c r="V22" s="16" t="s">
        <v>77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2"/>
      <c r="AN22" s="1"/>
    </row>
    <row r="23" ht="15.0" customHeight="1">
      <c r="B23" s="24" t="s">
        <v>78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2"/>
      <c r="T23" s="26" t="s">
        <v>6</v>
      </c>
      <c r="V23" s="24" t="s">
        <v>79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  <c r="AM23" s="54" t="s">
        <v>6</v>
      </c>
      <c r="AN23" s="1"/>
    </row>
    <row r="24" ht="15.0" customHeight="1">
      <c r="V24" s="24" t="s">
        <v>80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  <c r="AM24" s="54" t="s">
        <v>6</v>
      </c>
      <c r="AN24" s="1"/>
    </row>
    <row r="25" ht="15.0" customHeight="1">
      <c r="B25" s="16" t="s">
        <v>81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2"/>
      <c r="V25" s="24" t="s">
        <v>82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  <c r="AM25" s="54" t="s">
        <v>6</v>
      </c>
      <c r="AN25" s="1"/>
    </row>
    <row r="26" ht="15.0" customHeight="1">
      <c r="B26" s="24" t="s">
        <v>83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2"/>
      <c r="T26" s="26" t="s">
        <v>6</v>
      </c>
      <c r="U26" s="1"/>
      <c r="V26" s="24" t="s">
        <v>84</v>
      </c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  <c r="AM26" s="54" t="s">
        <v>6</v>
      </c>
      <c r="AN26" s="1"/>
    </row>
    <row r="27" ht="15.0" customHeight="1">
      <c r="B27" s="24" t="s">
        <v>85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2"/>
      <c r="T27" s="26" t="s">
        <v>6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ht="15.0" customHeight="1">
      <c r="A28" s="1"/>
      <c r="U28" s="1"/>
      <c r="V28" s="16" t="s">
        <v>77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2"/>
      <c r="AN28" s="1"/>
    </row>
    <row r="29" ht="15.0" customHeight="1">
      <c r="B29" s="55" t="s">
        <v>86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2"/>
      <c r="N29" s="55" t="s">
        <v>87</v>
      </c>
      <c r="O29" s="11"/>
      <c r="P29" s="11"/>
      <c r="Q29" s="11"/>
      <c r="R29" s="11"/>
      <c r="S29" s="11"/>
      <c r="T29" s="12"/>
      <c r="U29" s="1"/>
      <c r="V29" s="55" t="s">
        <v>88</v>
      </c>
      <c r="W29" s="11"/>
      <c r="X29" s="11"/>
      <c r="Y29" s="11"/>
      <c r="Z29" s="11"/>
      <c r="AA29" s="11"/>
      <c r="AB29" s="11"/>
      <c r="AC29" s="11"/>
      <c r="AD29" s="11"/>
      <c r="AE29" s="11"/>
      <c r="AF29" s="12"/>
      <c r="AG29" s="55" t="s">
        <v>88</v>
      </c>
      <c r="AH29" s="11"/>
      <c r="AI29" s="11"/>
      <c r="AJ29" s="11"/>
      <c r="AK29" s="11"/>
      <c r="AL29" s="11"/>
      <c r="AM29" s="12"/>
      <c r="AN29" s="1"/>
    </row>
    <row r="30" ht="15.0" customHeight="1">
      <c r="B30" s="25">
        <v>500.0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2"/>
      <c r="N30" s="25"/>
      <c r="O30" s="11"/>
      <c r="P30" s="11"/>
      <c r="Q30" s="11"/>
      <c r="R30" s="11"/>
      <c r="S30" s="12"/>
      <c r="T30" s="26" t="s">
        <v>6</v>
      </c>
      <c r="U30" s="1"/>
      <c r="V30" s="25" t="s">
        <v>89</v>
      </c>
      <c r="W30" s="11"/>
      <c r="X30" s="11"/>
      <c r="Y30" s="11"/>
      <c r="Z30" s="11"/>
      <c r="AA30" s="11"/>
      <c r="AB30" s="11"/>
      <c r="AC30" s="11"/>
      <c r="AD30" s="11"/>
      <c r="AE30" s="11"/>
      <c r="AF30" s="12"/>
      <c r="AG30" s="25"/>
      <c r="AH30" s="11"/>
      <c r="AI30" s="11"/>
      <c r="AJ30" s="11"/>
      <c r="AK30" s="11"/>
      <c r="AL30" s="12"/>
      <c r="AM30" s="26" t="s">
        <v>6</v>
      </c>
      <c r="AN30" s="1"/>
    </row>
    <row r="31" ht="15.0" customHeight="1">
      <c r="B31" s="25">
        <v>1000.0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2"/>
      <c r="N31" s="25"/>
      <c r="O31" s="11"/>
      <c r="P31" s="11"/>
      <c r="Q31" s="11"/>
      <c r="R31" s="11"/>
      <c r="S31" s="12"/>
      <c r="T31" s="26" t="s">
        <v>6</v>
      </c>
      <c r="U31" s="1"/>
      <c r="V31" s="25" t="s">
        <v>90</v>
      </c>
      <c r="W31" s="11"/>
      <c r="X31" s="11"/>
      <c r="Y31" s="11"/>
      <c r="Z31" s="11"/>
      <c r="AA31" s="11"/>
      <c r="AB31" s="11"/>
      <c r="AC31" s="11"/>
      <c r="AD31" s="11"/>
      <c r="AE31" s="11"/>
      <c r="AF31" s="12"/>
      <c r="AG31" s="25"/>
      <c r="AH31" s="11"/>
      <c r="AI31" s="11"/>
      <c r="AJ31" s="11"/>
      <c r="AK31" s="11"/>
      <c r="AL31" s="12"/>
      <c r="AM31" s="26" t="s">
        <v>6</v>
      </c>
      <c r="AN31" s="1"/>
    </row>
    <row r="32" ht="15.0" customHeight="1">
      <c r="B32" s="25">
        <v>1500.0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2"/>
      <c r="N32" s="25"/>
      <c r="O32" s="11"/>
      <c r="P32" s="11"/>
      <c r="Q32" s="11"/>
      <c r="R32" s="11"/>
      <c r="S32" s="12"/>
      <c r="T32" s="26" t="s">
        <v>6</v>
      </c>
      <c r="U32" s="1"/>
      <c r="V32" s="25" t="s">
        <v>91</v>
      </c>
      <c r="W32" s="11"/>
      <c r="X32" s="11"/>
      <c r="Y32" s="11"/>
      <c r="Z32" s="11"/>
      <c r="AA32" s="11"/>
      <c r="AB32" s="11"/>
      <c r="AC32" s="11"/>
      <c r="AD32" s="11"/>
      <c r="AE32" s="11"/>
      <c r="AF32" s="12"/>
      <c r="AG32" s="25"/>
      <c r="AH32" s="11"/>
      <c r="AI32" s="11"/>
      <c r="AJ32" s="11"/>
      <c r="AK32" s="11"/>
      <c r="AL32" s="12"/>
      <c r="AM32" s="26" t="s">
        <v>6</v>
      </c>
      <c r="AN32" s="1"/>
    </row>
    <row r="33" ht="15.0" customHeight="1">
      <c r="B33" s="25">
        <v>2000.0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2"/>
      <c r="N33" s="25"/>
      <c r="O33" s="11"/>
      <c r="P33" s="11"/>
      <c r="Q33" s="11"/>
      <c r="R33" s="11"/>
      <c r="S33" s="12"/>
      <c r="T33" s="26" t="s">
        <v>6</v>
      </c>
      <c r="AN33" s="1"/>
    </row>
    <row r="34" ht="15.0" customHeight="1">
      <c r="B34" s="25">
        <v>2500.0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2"/>
      <c r="N34" s="25"/>
      <c r="O34" s="11"/>
      <c r="P34" s="11"/>
      <c r="Q34" s="11"/>
      <c r="R34" s="11"/>
      <c r="S34" s="12"/>
      <c r="T34" s="26" t="s">
        <v>6</v>
      </c>
      <c r="V34" s="16" t="s">
        <v>77</v>
      </c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2"/>
      <c r="AN34" s="1"/>
    </row>
    <row r="35" ht="15.0" customHeight="1">
      <c r="B35" s="25">
        <v>3000.0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2"/>
      <c r="N35" s="25"/>
      <c r="O35" s="11"/>
      <c r="P35" s="11"/>
      <c r="Q35" s="11"/>
      <c r="R35" s="11"/>
      <c r="S35" s="12"/>
      <c r="T35" s="26" t="s">
        <v>6</v>
      </c>
      <c r="V35" s="25" t="s">
        <v>22</v>
      </c>
      <c r="W35" s="11"/>
      <c r="X35" s="11"/>
      <c r="Y35" s="11"/>
      <c r="Z35" s="11"/>
      <c r="AA35" s="11"/>
      <c r="AB35" s="11"/>
      <c r="AC35" s="11"/>
      <c r="AD35" s="11"/>
      <c r="AE35" s="11"/>
      <c r="AF35" s="12"/>
      <c r="AG35" s="25" t="s">
        <v>92</v>
      </c>
      <c r="AH35" s="11"/>
      <c r="AI35" s="11"/>
      <c r="AJ35" s="12"/>
      <c r="AK35" s="31"/>
      <c r="AL35" s="56" t="s">
        <v>93</v>
      </c>
      <c r="AM35" s="26" t="s">
        <v>6</v>
      </c>
      <c r="AN35" s="1"/>
    </row>
    <row r="36" ht="15.0" customHeight="1">
      <c r="B36" s="25" t="s">
        <v>94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2"/>
      <c r="N36" s="25"/>
      <c r="O36" s="11"/>
      <c r="P36" s="11"/>
      <c r="Q36" s="11"/>
      <c r="R36" s="11"/>
      <c r="S36" s="12"/>
      <c r="T36" s="26" t="s">
        <v>6</v>
      </c>
      <c r="V36" s="25" t="s">
        <v>95</v>
      </c>
      <c r="W36" s="11"/>
      <c r="X36" s="11"/>
      <c r="Y36" s="11"/>
      <c r="Z36" s="11"/>
      <c r="AA36" s="11"/>
      <c r="AB36" s="11"/>
      <c r="AC36" s="11"/>
      <c r="AD36" s="11"/>
      <c r="AE36" s="11"/>
      <c r="AF36" s="12"/>
      <c r="AG36" s="25" t="s">
        <v>96</v>
      </c>
      <c r="AH36" s="11"/>
      <c r="AI36" s="11"/>
      <c r="AJ36" s="12"/>
      <c r="AK36" s="31"/>
      <c r="AL36" s="56" t="s">
        <v>21</v>
      </c>
      <c r="AM36" s="26" t="s">
        <v>6</v>
      </c>
      <c r="AN36" s="1"/>
    </row>
    <row r="37" ht="15.0" customHeight="1">
      <c r="AN37" s="1"/>
    </row>
    <row r="38" ht="15.0" customHeight="1">
      <c r="AN38" s="1"/>
    </row>
    <row r="39" ht="15.0" customHeight="1">
      <c r="B39" s="39" t="s">
        <v>58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2"/>
      <c r="AN39" s="1"/>
    </row>
    <row r="40" ht="15.0" customHeight="1">
      <c r="B40" s="20" t="s">
        <v>59</v>
      </c>
      <c r="C40" s="11"/>
      <c r="D40" s="11"/>
      <c r="E40" s="11"/>
      <c r="F40" s="11"/>
      <c r="G40" s="11"/>
      <c r="H40" s="11"/>
      <c r="I40" s="11"/>
      <c r="J40" s="11"/>
      <c r="K40" s="12"/>
      <c r="L40" s="20" t="s">
        <v>8</v>
      </c>
      <c r="M40" s="11"/>
      <c r="N40" s="11"/>
      <c r="O40" s="11"/>
      <c r="P40" s="11"/>
      <c r="Q40" s="11"/>
      <c r="R40" s="11"/>
      <c r="S40" s="11"/>
      <c r="T40" s="12"/>
      <c r="U40" s="20" t="s">
        <v>10</v>
      </c>
      <c r="V40" s="11"/>
      <c r="W40" s="11"/>
      <c r="X40" s="11"/>
      <c r="Y40" s="11"/>
      <c r="Z40" s="11"/>
      <c r="AA40" s="11"/>
      <c r="AB40" s="11"/>
      <c r="AC40" s="12"/>
      <c r="AD40" s="20" t="s">
        <v>60</v>
      </c>
      <c r="AE40" s="11"/>
      <c r="AF40" s="11"/>
      <c r="AG40" s="11"/>
      <c r="AH40" s="11"/>
      <c r="AI40" s="11"/>
      <c r="AJ40" s="11"/>
      <c r="AK40" s="11"/>
      <c r="AL40" s="11"/>
      <c r="AM40" s="12"/>
      <c r="AN40" s="1"/>
    </row>
    <row r="41" ht="15.0" customHeight="1">
      <c r="A41" s="40" t="s">
        <v>61</v>
      </c>
      <c r="B41" s="41" t="str">
        <f t="shared" ref="B41:B43" si="1">IFERROR(VLOOKUP(A41,catalogoAnalizadores!A:E,2,FALSE),"")</f>
        <v/>
      </c>
      <c r="C41" s="11"/>
      <c r="D41" s="11"/>
      <c r="E41" s="11"/>
      <c r="F41" s="11"/>
      <c r="G41" s="11"/>
      <c r="H41" s="11"/>
      <c r="I41" s="11"/>
      <c r="J41" s="11"/>
      <c r="K41" s="12"/>
      <c r="L41" s="41" t="str">
        <f t="shared" ref="L41:L43" si="2">IFERROR(VLOOKUP(A41,catalogoAnalizadores!A:E,3,FALSE),"")</f>
        <v/>
      </c>
      <c r="M41" s="11"/>
      <c r="N41" s="11"/>
      <c r="O41" s="11"/>
      <c r="P41" s="11"/>
      <c r="Q41" s="11"/>
      <c r="R41" s="11"/>
      <c r="S41" s="11"/>
      <c r="T41" s="12"/>
      <c r="U41" s="41" t="str">
        <f t="shared" ref="U41:U43" si="3">IFERROR(VLOOKUP(A41,catalogoAnalizadores!A:E,4,FALSE),"")</f>
        <v/>
      </c>
      <c r="V41" s="11"/>
      <c r="W41" s="11"/>
      <c r="X41" s="11"/>
      <c r="Y41" s="11"/>
      <c r="Z41" s="11"/>
      <c r="AA41" s="11"/>
      <c r="AB41" s="11"/>
      <c r="AC41" s="12"/>
      <c r="AD41" s="41" t="str">
        <f t="shared" ref="AD41:AD43" si="4">IFERROR(VLOOKUP(A41,catalogoAnalizadores!A:E,5,FALSE),"")</f>
        <v/>
      </c>
      <c r="AE41" s="11"/>
      <c r="AF41" s="11"/>
      <c r="AG41" s="11"/>
      <c r="AH41" s="11"/>
      <c r="AI41" s="11"/>
      <c r="AJ41" s="11"/>
      <c r="AK41" s="11"/>
      <c r="AL41" s="11"/>
      <c r="AM41" s="12"/>
      <c r="AN41" s="1"/>
    </row>
    <row r="42" ht="15.0" customHeight="1">
      <c r="A42" s="40" t="s">
        <v>61</v>
      </c>
      <c r="B42" s="41" t="str">
        <f t="shared" si="1"/>
        <v/>
      </c>
      <c r="C42" s="11"/>
      <c r="D42" s="11"/>
      <c r="E42" s="11"/>
      <c r="F42" s="11"/>
      <c r="G42" s="11"/>
      <c r="H42" s="11"/>
      <c r="I42" s="11"/>
      <c r="J42" s="11"/>
      <c r="K42" s="12"/>
      <c r="L42" s="41" t="str">
        <f t="shared" si="2"/>
        <v/>
      </c>
      <c r="M42" s="11"/>
      <c r="N42" s="11"/>
      <c r="O42" s="11"/>
      <c r="P42" s="11"/>
      <c r="Q42" s="11"/>
      <c r="R42" s="11"/>
      <c r="S42" s="11"/>
      <c r="T42" s="12"/>
      <c r="U42" s="41" t="str">
        <f t="shared" si="3"/>
        <v/>
      </c>
      <c r="V42" s="11"/>
      <c r="W42" s="11"/>
      <c r="X42" s="11"/>
      <c r="Y42" s="11"/>
      <c r="Z42" s="11"/>
      <c r="AA42" s="11"/>
      <c r="AB42" s="11"/>
      <c r="AC42" s="12"/>
      <c r="AD42" s="41" t="str">
        <f t="shared" si="4"/>
        <v/>
      </c>
      <c r="AE42" s="11"/>
      <c r="AF42" s="11"/>
      <c r="AG42" s="11"/>
      <c r="AH42" s="11"/>
      <c r="AI42" s="11"/>
      <c r="AJ42" s="11"/>
      <c r="AK42" s="11"/>
      <c r="AL42" s="11"/>
      <c r="AM42" s="12"/>
      <c r="AN42" s="1"/>
    </row>
    <row r="43" ht="15.0" customHeight="1">
      <c r="A43" s="40" t="s">
        <v>61</v>
      </c>
      <c r="B43" s="41" t="str">
        <f t="shared" si="1"/>
        <v/>
      </c>
      <c r="C43" s="11"/>
      <c r="D43" s="11"/>
      <c r="E43" s="11"/>
      <c r="F43" s="11"/>
      <c r="G43" s="11"/>
      <c r="H43" s="11"/>
      <c r="I43" s="11"/>
      <c r="J43" s="11"/>
      <c r="K43" s="12"/>
      <c r="L43" s="41" t="str">
        <f t="shared" si="2"/>
        <v/>
      </c>
      <c r="M43" s="11"/>
      <c r="N43" s="11"/>
      <c r="O43" s="11"/>
      <c r="P43" s="11"/>
      <c r="Q43" s="11"/>
      <c r="R43" s="11"/>
      <c r="S43" s="11"/>
      <c r="T43" s="12"/>
      <c r="U43" s="41" t="str">
        <f t="shared" si="3"/>
        <v/>
      </c>
      <c r="V43" s="11"/>
      <c r="W43" s="11"/>
      <c r="X43" s="11"/>
      <c r="Y43" s="11"/>
      <c r="Z43" s="11"/>
      <c r="AA43" s="11"/>
      <c r="AB43" s="11"/>
      <c r="AC43" s="12"/>
      <c r="AD43" s="41" t="str">
        <f t="shared" si="4"/>
        <v/>
      </c>
      <c r="AE43" s="11"/>
      <c r="AF43" s="11"/>
      <c r="AG43" s="11"/>
      <c r="AH43" s="11"/>
      <c r="AI43" s="11"/>
      <c r="AJ43" s="11"/>
      <c r="AK43" s="11"/>
      <c r="AL43" s="11"/>
      <c r="AM43" s="12"/>
      <c r="AN43" s="1"/>
    </row>
    <row r="44" ht="15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ht="15.0" customHeight="1">
      <c r="B45" s="39" t="s">
        <v>62</v>
      </c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2"/>
      <c r="AN45" s="1"/>
    </row>
    <row r="46" ht="15.0" customHeight="1">
      <c r="B46" s="25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2"/>
      <c r="AN46" s="1"/>
    </row>
    <row r="47" ht="15.0" customHeight="1">
      <c r="B47" s="25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2"/>
      <c r="AN47" s="1"/>
    </row>
    <row r="48" ht="15.0" customHeight="1">
      <c r="B48" s="25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2"/>
      <c r="AN48" s="1"/>
    </row>
    <row r="49" ht="15.0" customHeight="1">
      <c r="B49" s="25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2"/>
      <c r="AN49" s="1"/>
    </row>
    <row r="50" ht="15.0" customHeight="1">
      <c r="AN50" s="1"/>
    </row>
    <row r="51" ht="15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ht="15.0" customHeight="1">
      <c r="A52" s="1"/>
      <c r="M52" s="7"/>
      <c r="N52" s="7"/>
      <c r="O52" s="1"/>
      <c r="AB52" s="7"/>
      <c r="AC52" s="1"/>
      <c r="AD52" s="7"/>
      <c r="AN52" s="1"/>
    </row>
    <row r="53" ht="27.0" customHeight="1">
      <c r="B53" s="42" t="s">
        <v>63</v>
      </c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"/>
      <c r="N53" s="1"/>
      <c r="O53" s="1"/>
      <c r="P53" s="1"/>
      <c r="Q53" s="42" t="s">
        <v>64</v>
      </c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"/>
      <c r="AC53" s="1"/>
      <c r="AD53" s="42" t="s">
        <v>65</v>
      </c>
      <c r="AE53" s="18"/>
      <c r="AF53" s="18"/>
      <c r="AG53" s="18"/>
      <c r="AH53" s="18"/>
      <c r="AI53" s="18"/>
      <c r="AJ53" s="18"/>
      <c r="AK53" s="18"/>
      <c r="AL53" s="18"/>
      <c r="AM53" s="18"/>
      <c r="AN53" s="1"/>
    </row>
    <row r="54" ht="15.0" customHeight="1">
      <c r="AN54" s="1"/>
    </row>
    <row r="55" ht="15.0" customHeight="1">
      <c r="AN55" s="1"/>
    </row>
    <row r="56" ht="15.0" customHeight="1">
      <c r="AN56" s="1"/>
    </row>
    <row r="57" ht="15.0" customHeight="1">
      <c r="AN57" s="1"/>
    </row>
    <row r="58" ht="15.0" customHeight="1">
      <c r="AN58" s="1"/>
    </row>
    <row r="59" ht="15.0" customHeight="1">
      <c r="AN59" s="1"/>
    </row>
    <row r="60" ht="15.0" customHeight="1">
      <c r="A60" s="1"/>
      <c r="AN60" s="1"/>
    </row>
    <row r="61" ht="15.0" customHeight="1">
      <c r="AN61" s="1"/>
    </row>
    <row r="62" ht="15.0" customHeight="1"/>
    <row r="63" ht="15.0" customHeight="1">
      <c r="AN63" s="1"/>
    </row>
    <row r="64" ht="15.0" customHeight="1">
      <c r="AN64" s="1"/>
    </row>
    <row r="65" ht="15.0" customHeight="1">
      <c r="AN65" s="1"/>
    </row>
    <row r="66" ht="15.0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ht="15.0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ht="15.0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ht="15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ht="15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ht="15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ht="15.0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ht="15.75" customHeight="1">
      <c r="A108" s="1"/>
      <c r="B108" s="1"/>
    </row>
    <row r="109" ht="15.75" customHeight="1">
      <c r="A109" s="1"/>
      <c r="B109" s="1"/>
    </row>
    <row r="110" ht="15.75" customHeight="1">
      <c r="A110" s="1"/>
      <c r="B110" s="1"/>
    </row>
    <row r="111" ht="15.75" customHeight="1">
      <c r="A111" s="1"/>
      <c r="B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V17:AD17"/>
    <mergeCell ref="AE17:AG17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2:AM22"/>
    <mergeCell ref="V23:AL23"/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  <mergeCell ref="B45:AM45"/>
    <mergeCell ref="B46:AM46"/>
  </mergeCells>
  <dataValidations>
    <dataValidation type="list" allowBlank="1" sqref="A41:A43">
      <formula1>catalogoAnalizadores!$A$2:$A1000</formula1>
    </dataValidation>
    <dataValidation type="list" allowBlank="1" showErrorMessage="1" sqref="AL10 AM18:AM20 T17:T23 AM23:AM26 T26:T27 AM30:AM32 T30:T36 AM35:AM36">
      <formula1>"✓,✖,N/A"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.86"/>
    <col customWidth="1" min="3" max="3" width="5.0"/>
    <col customWidth="1" min="4" max="5" width="1.86"/>
    <col customWidth="1" min="6" max="6" width="7.14"/>
    <col customWidth="1" min="7" max="10" width="1.86"/>
    <col customWidth="1" min="11" max="13" width="2.71"/>
    <col customWidth="1" min="14" max="17" width="3.14"/>
    <col customWidth="1" min="18" max="18" width="7.86"/>
    <col customWidth="1" min="19" max="19" width="3.14"/>
    <col customWidth="1" min="20" max="20" width="9.57"/>
    <col customWidth="1" min="21" max="27" width="2.71"/>
    <col customWidth="1" min="28" max="28" width="4.57"/>
    <col customWidth="1" min="29" max="38" width="5.0"/>
    <col customWidth="1" min="39" max="39" width="9.57"/>
    <col customWidth="1" min="40" max="40" width="5.43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ht="15.0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ht="15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ht="17.25" customHeight="1">
      <c r="A8" s="1"/>
      <c r="B8" s="2" t="s">
        <v>97</v>
      </c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"/>
      <c r="AG8" s="6"/>
      <c r="AH8" s="6"/>
      <c r="AI8" s="6"/>
      <c r="AJ8" s="6"/>
      <c r="AK8" s="6"/>
      <c r="AL8" s="6"/>
      <c r="AM8" s="6"/>
    </row>
    <row r="9" ht="15.0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7"/>
      <c r="AE9" s="1"/>
      <c r="AF9" s="1"/>
      <c r="AG9" s="1"/>
      <c r="AH9" s="1"/>
      <c r="AI9" s="1"/>
      <c r="AJ9" s="1"/>
      <c r="AK9" s="1"/>
      <c r="AL9" s="1"/>
      <c r="AM9" s="1"/>
    </row>
    <row r="10" ht="18.75" customHeight="1">
      <c r="A10" s="1"/>
      <c r="B10" s="7" t="s">
        <v>2</v>
      </c>
      <c r="D10" s="8" t="str">
        <f> TEXT(DATE(YEAR(TODAY()), MONTH(TODAY()), 25), "dd/mmm/yyyy")</f>
        <v>25/jul/2026</v>
      </c>
      <c r="I10" s="1"/>
      <c r="J10" s="1"/>
      <c r="K10" s="1"/>
      <c r="L10" s="1"/>
      <c r="M10" s="1"/>
      <c r="N10" s="1"/>
      <c r="O10" s="9"/>
      <c r="S10" s="4" t="s">
        <v>3</v>
      </c>
      <c r="Y10" s="1" t="s">
        <v>4</v>
      </c>
      <c r="AB10" s="1"/>
      <c r="AC10" s="1"/>
      <c r="AD10" s="1"/>
      <c r="AE10" s="1"/>
      <c r="AF10" s="1"/>
      <c r="AG10" s="1"/>
      <c r="AI10" s="10" t="s">
        <v>5</v>
      </c>
      <c r="AJ10" s="11"/>
      <c r="AK10" s="12"/>
      <c r="AL10" s="13" t="s">
        <v>6</v>
      </c>
      <c r="AM10" s="12"/>
      <c r="AN10" s="1"/>
    </row>
    <row r="11" ht="15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ht="15.0" customHeight="1">
      <c r="A12" s="1"/>
      <c r="B12" s="14" t="s">
        <v>7</v>
      </c>
      <c r="C12" s="11"/>
      <c r="D12" s="11"/>
      <c r="E12" s="11"/>
      <c r="F12" s="12"/>
      <c r="G12" s="15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4" t="s">
        <v>8</v>
      </c>
      <c r="V12" s="11"/>
      <c r="W12" s="11"/>
      <c r="X12" s="11"/>
      <c r="Y12" s="11"/>
      <c r="Z12" s="12"/>
      <c r="AA12" s="15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2"/>
      <c r="AN12" s="1"/>
    </row>
    <row r="13" ht="15.0" customHeight="1">
      <c r="B13" s="14" t="s">
        <v>9</v>
      </c>
      <c r="C13" s="11"/>
      <c r="D13" s="11"/>
      <c r="E13" s="11"/>
      <c r="F13" s="12"/>
      <c r="G13" s="15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4" t="s">
        <v>10</v>
      </c>
      <c r="V13" s="11"/>
      <c r="W13" s="11"/>
      <c r="X13" s="11"/>
      <c r="Y13" s="11"/>
      <c r="Z13" s="12"/>
      <c r="AA13" s="15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2"/>
      <c r="AN13" s="1"/>
    </row>
    <row r="14" ht="15.0" customHeight="1">
      <c r="A14" s="1"/>
      <c r="B14" s="14" t="s">
        <v>11</v>
      </c>
      <c r="C14" s="11"/>
      <c r="D14" s="11"/>
      <c r="E14" s="11"/>
      <c r="F14" s="12"/>
      <c r="G14" s="15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4" t="s">
        <v>12</v>
      </c>
      <c r="V14" s="11"/>
      <c r="W14" s="11"/>
      <c r="X14" s="11"/>
      <c r="Y14" s="11"/>
      <c r="Z14" s="12"/>
      <c r="AA14" s="15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2"/>
      <c r="AN14" s="1"/>
    </row>
    <row r="15" ht="15.0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ht="15.0" customHeight="1">
      <c r="B16" s="16" t="s">
        <v>98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1"/>
      <c r="V16" s="17" t="s">
        <v>99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"/>
    </row>
    <row r="17" ht="15.0" customHeight="1">
      <c r="B17" s="24" t="s">
        <v>100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2"/>
      <c r="T17" s="26" t="s">
        <v>6</v>
      </c>
      <c r="U17" s="1"/>
      <c r="V17" s="20" t="s">
        <v>101</v>
      </c>
      <c r="W17" s="11"/>
      <c r="X17" s="11"/>
      <c r="Y17" s="11"/>
      <c r="Z17" s="11"/>
      <c r="AA17" s="10" t="s">
        <v>102</v>
      </c>
      <c r="AB17" s="11"/>
      <c r="AC17" s="11"/>
      <c r="AD17" s="12"/>
      <c r="AE17" s="10" t="s">
        <v>103</v>
      </c>
      <c r="AF17" s="11"/>
      <c r="AG17" s="11"/>
      <c r="AH17" s="12"/>
      <c r="AI17" s="10" t="s">
        <v>104</v>
      </c>
      <c r="AJ17" s="11"/>
      <c r="AK17" s="11"/>
      <c r="AL17" s="12"/>
      <c r="AM17" s="57" t="s">
        <v>105</v>
      </c>
      <c r="AN17" s="1"/>
    </row>
    <row r="18" ht="15.0" customHeight="1">
      <c r="A18" s="1"/>
      <c r="B18" s="24" t="s">
        <v>68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2"/>
      <c r="T18" s="26" t="s">
        <v>6</v>
      </c>
      <c r="U18" s="1"/>
      <c r="V18" s="20" t="s">
        <v>106</v>
      </c>
      <c r="W18" s="11"/>
      <c r="X18" s="11"/>
      <c r="Y18" s="11"/>
      <c r="Z18" s="11"/>
      <c r="AA18" s="10"/>
      <c r="AB18" s="11"/>
      <c r="AC18" s="11"/>
      <c r="AD18" s="58" t="s">
        <v>107</v>
      </c>
      <c r="AE18" s="10"/>
      <c r="AF18" s="11"/>
      <c r="AG18" s="11"/>
      <c r="AH18" s="58" t="s">
        <v>107</v>
      </c>
      <c r="AI18" s="10"/>
      <c r="AJ18" s="11"/>
      <c r="AK18" s="11"/>
      <c r="AL18" s="58" t="s">
        <v>107</v>
      </c>
      <c r="AM18" s="26" t="s">
        <v>6</v>
      </c>
      <c r="AN18" s="1"/>
    </row>
    <row r="19" ht="15.0" customHeight="1">
      <c r="U19" s="1"/>
      <c r="V19" s="20" t="s">
        <v>108</v>
      </c>
      <c r="W19" s="11"/>
      <c r="X19" s="11"/>
      <c r="Y19" s="11"/>
      <c r="Z19" s="11"/>
      <c r="AA19" s="10"/>
      <c r="AB19" s="11"/>
      <c r="AC19" s="11"/>
      <c r="AD19" s="58" t="s">
        <v>107</v>
      </c>
      <c r="AE19" s="10"/>
      <c r="AF19" s="11"/>
      <c r="AG19" s="11"/>
      <c r="AH19" s="58" t="s">
        <v>107</v>
      </c>
      <c r="AI19" s="10"/>
      <c r="AJ19" s="11"/>
      <c r="AK19" s="11"/>
      <c r="AL19" s="58" t="s">
        <v>107</v>
      </c>
      <c r="AM19" s="26" t="s">
        <v>6</v>
      </c>
      <c r="AN19" s="1"/>
    </row>
    <row r="20" ht="15.0" customHeight="1">
      <c r="B20" s="16" t="s">
        <v>109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2"/>
      <c r="V20" s="20" t="s">
        <v>110</v>
      </c>
      <c r="W20" s="11"/>
      <c r="X20" s="11"/>
      <c r="Y20" s="11"/>
      <c r="Z20" s="11"/>
      <c r="AA20" s="10"/>
      <c r="AB20" s="11"/>
      <c r="AC20" s="11"/>
      <c r="AD20" s="58" t="s">
        <v>107</v>
      </c>
      <c r="AE20" s="10"/>
      <c r="AF20" s="11"/>
      <c r="AG20" s="11"/>
      <c r="AH20" s="58" t="s">
        <v>107</v>
      </c>
      <c r="AI20" s="10"/>
      <c r="AJ20" s="11"/>
      <c r="AK20" s="11"/>
      <c r="AL20" s="58" t="s">
        <v>107</v>
      </c>
      <c r="AM20" s="26" t="s">
        <v>6</v>
      </c>
      <c r="AN20" s="1"/>
    </row>
    <row r="21" ht="15.0" customHeight="1">
      <c r="B21" s="24" t="s">
        <v>111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2"/>
      <c r="T21" s="26" t="s">
        <v>6</v>
      </c>
      <c r="V21" s="20" t="s">
        <v>112</v>
      </c>
      <c r="W21" s="11"/>
      <c r="X21" s="11"/>
      <c r="Y21" s="11"/>
      <c r="Z21" s="11"/>
      <c r="AA21" s="10"/>
      <c r="AB21" s="11"/>
      <c r="AC21" s="11"/>
      <c r="AD21" s="58" t="s">
        <v>107</v>
      </c>
      <c r="AE21" s="10"/>
      <c r="AF21" s="11"/>
      <c r="AG21" s="11"/>
      <c r="AH21" s="58" t="s">
        <v>107</v>
      </c>
      <c r="AI21" s="10"/>
      <c r="AJ21" s="11"/>
      <c r="AK21" s="11"/>
      <c r="AL21" s="58" t="s">
        <v>107</v>
      </c>
      <c r="AM21" s="26" t="s">
        <v>6</v>
      </c>
      <c r="AN21" s="1"/>
    </row>
    <row r="22" ht="15.0" customHeight="1">
      <c r="B22" s="24" t="s">
        <v>113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2"/>
      <c r="T22" s="26" t="s">
        <v>6</v>
      </c>
    </row>
    <row r="23" ht="15.0" customHeight="1">
      <c r="B23" s="16" t="s">
        <v>114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2"/>
      <c r="V23" s="24" t="s">
        <v>115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  <c r="AM23" s="26" t="s">
        <v>6</v>
      </c>
      <c r="AN23" s="1"/>
    </row>
    <row r="24" ht="15.0" customHeight="1">
      <c r="B24" s="24" t="s">
        <v>116</v>
      </c>
      <c r="C24" s="11"/>
      <c r="D24" s="11"/>
      <c r="E24" s="11"/>
      <c r="F24" s="11"/>
      <c r="G24" s="11"/>
      <c r="H24" s="11"/>
      <c r="I24" s="11"/>
      <c r="J24" s="12"/>
      <c r="K24" s="25" t="s">
        <v>117</v>
      </c>
      <c r="L24" s="11"/>
      <c r="M24" s="12"/>
      <c r="N24" s="25" t="s">
        <v>118</v>
      </c>
      <c r="O24" s="11"/>
      <c r="P24" s="11"/>
      <c r="Q24" s="12"/>
      <c r="R24" s="59"/>
      <c r="S24" s="60" t="s">
        <v>119</v>
      </c>
      <c r="T24" s="26" t="s">
        <v>6</v>
      </c>
      <c r="V24" s="24" t="s">
        <v>120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  <c r="AM24" s="26" t="s">
        <v>6</v>
      </c>
      <c r="AN24" s="1"/>
    </row>
    <row r="25" ht="15.0" customHeight="1">
      <c r="B25" s="24" t="s">
        <v>116</v>
      </c>
      <c r="C25" s="11"/>
      <c r="D25" s="11"/>
      <c r="E25" s="11"/>
      <c r="F25" s="11"/>
      <c r="G25" s="11"/>
      <c r="H25" s="11"/>
      <c r="I25" s="11"/>
      <c r="J25" s="12"/>
      <c r="K25" s="25" t="s">
        <v>121</v>
      </c>
      <c r="L25" s="11"/>
      <c r="M25" s="12"/>
      <c r="N25" s="25" t="s">
        <v>118</v>
      </c>
      <c r="O25" s="11"/>
      <c r="P25" s="11"/>
      <c r="Q25" s="12"/>
      <c r="R25" s="59"/>
      <c r="S25" s="60" t="s">
        <v>119</v>
      </c>
      <c r="T25" s="26" t="s">
        <v>6</v>
      </c>
      <c r="AN25" s="1"/>
    </row>
    <row r="26" ht="15.0" customHeight="1">
      <c r="B26" s="24" t="s">
        <v>116</v>
      </c>
      <c r="C26" s="11"/>
      <c r="D26" s="11"/>
      <c r="E26" s="11"/>
      <c r="F26" s="11"/>
      <c r="G26" s="11"/>
      <c r="H26" s="11"/>
      <c r="I26" s="11"/>
      <c r="J26" s="12"/>
      <c r="K26" s="25" t="s">
        <v>122</v>
      </c>
      <c r="L26" s="11"/>
      <c r="M26" s="12"/>
      <c r="N26" s="25" t="s">
        <v>118</v>
      </c>
      <c r="O26" s="11"/>
      <c r="P26" s="11"/>
      <c r="Q26" s="12"/>
      <c r="R26" s="59"/>
      <c r="S26" s="60" t="s">
        <v>119</v>
      </c>
      <c r="T26" s="26" t="s">
        <v>6</v>
      </c>
      <c r="U26" s="1"/>
      <c r="V26" s="17" t="s">
        <v>123</v>
      </c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9"/>
      <c r="AN26" s="1"/>
    </row>
    <row r="27" ht="15.0" customHeight="1">
      <c r="B27" s="24" t="s">
        <v>116</v>
      </c>
      <c r="C27" s="11"/>
      <c r="D27" s="11"/>
      <c r="E27" s="11"/>
      <c r="F27" s="11"/>
      <c r="G27" s="11"/>
      <c r="H27" s="11"/>
      <c r="I27" s="11"/>
      <c r="J27" s="12"/>
      <c r="K27" s="25" t="s">
        <v>124</v>
      </c>
      <c r="L27" s="11"/>
      <c r="M27" s="12"/>
      <c r="N27" s="25" t="s">
        <v>118</v>
      </c>
      <c r="O27" s="11"/>
      <c r="P27" s="11"/>
      <c r="Q27" s="12"/>
      <c r="R27" s="59"/>
      <c r="S27" s="60" t="s">
        <v>119</v>
      </c>
      <c r="T27" s="26" t="s">
        <v>6</v>
      </c>
      <c r="U27" s="1"/>
      <c r="V27" s="20" t="s">
        <v>101</v>
      </c>
      <c r="W27" s="11"/>
      <c r="X27" s="11"/>
      <c r="Y27" s="11"/>
      <c r="Z27" s="11"/>
      <c r="AA27" s="10" t="s">
        <v>102</v>
      </c>
      <c r="AB27" s="11"/>
      <c r="AC27" s="11"/>
      <c r="AD27" s="12"/>
      <c r="AE27" s="10" t="s">
        <v>103</v>
      </c>
      <c r="AF27" s="11"/>
      <c r="AG27" s="11"/>
      <c r="AH27" s="12"/>
      <c r="AI27" s="10" t="s">
        <v>104</v>
      </c>
      <c r="AJ27" s="11"/>
      <c r="AK27" s="11"/>
      <c r="AL27" s="12"/>
      <c r="AM27" s="21"/>
      <c r="AN27" s="1"/>
    </row>
    <row r="28" ht="15.0" customHeight="1">
      <c r="A28" s="1"/>
      <c r="U28" s="1"/>
      <c r="V28" s="20" t="s">
        <v>106</v>
      </c>
      <c r="W28" s="11"/>
      <c r="X28" s="11"/>
      <c r="Y28" s="11"/>
      <c r="Z28" s="11"/>
      <c r="AA28" s="10"/>
      <c r="AB28" s="11"/>
      <c r="AC28" s="11"/>
      <c r="AD28" s="58" t="s">
        <v>107</v>
      </c>
      <c r="AE28" s="10"/>
      <c r="AF28" s="11"/>
      <c r="AG28" s="11"/>
      <c r="AH28" s="58" t="s">
        <v>107</v>
      </c>
      <c r="AI28" s="10"/>
      <c r="AJ28" s="11"/>
      <c r="AK28" s="11"/>
      <c r="AL28" s="58" t="s">
        <v>107</v>
      </c>
      <c r="AM28" s="26" t="s">
        <v>6</v>
      </c>
      <c r="AN28" s="1"/>
    </row>
    <row r="29" ht="15.0" customHeight="1">
      <c r="B29" s="24" t="s">
        <v>125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26" t="s">
        <v>6</v>
      </c>
      <c r="U29" s="1"/>
      <c r="V29" s="20" t="s">
        <v>108</v>
      </c>
      <c r="W29" s="11"/>
      <c r="X29" s="11"/>
      <c r="Y29" s="11"/>
      <c r="Z29" s="11"/>
      <c r="AA29" s="10"/>
      <c r="AB29" s="11"/>
      <c r="AC29" s="11"/>
      <c r="AD29" s="58" t="s">
        <v>107</v>
      </c>
      <c r="AE29" s="10"/>
      <c r="AF29" s="11"/>
      <c r="AG29" s="11"/>
      <c r="AH29" s="58" t="s">
        <v>107</v>
      </c>
      <c r="AI29" s="10"/>
      <c r="AJ29" s="11"/>
      <c r="AK29" s="11"/>
      <c r="AL29" s="58" t="s">
        <v>107</v>
      </c>
      <c r="AM29" s="26" t="s">
        <v>6</v>
      </c>
      <c r="AN29" s="1"/>
    </row>
    <row r="30" ht="15.0" customHeight="1">
      <c r="B30" s="24" t="s">
        <v>126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26" t="s">
        <v>6</v>
      </c>
      <c r="U30" s="1"/>
      <c r="V30" s="20" t="s">
        <v>110</v>
      </c>
      <c r="W30" s="11"/>
      <c r="X30" s="11"/>
      <c r="Y30" s="11"/>
      <c r="Z30" s="11"/>
      <c r="AA30" s="10"/>
      <c r="AB30" s="11"/>
      <c r="AC30" s="11"/>
      <c r="AD30" s="58" t="s">
        <v>107</v>
      </c>
      <c r="AE30" s="10"/>
      <c r="AF30" s="11"/>
      <c r="AG30" s="11"/>
      <c r="AH30" s="58" t="s">
        <v>107</v>
      </c>
      <c r="AI30" s="10"/>
      <c r="AJ30" s="11"/>
      <c r="AK30" s="11"/>
      <c r="AL30" s="58" t="s">
        <v>107</v>
      </c>
      <c r="AM30" s="26" t="s">
        <v>6</v>
      </c>
      <c r="AN30" s="1"/>
    </row>
    <row r="31" ht="15.0" customHeight="1">
      <c r="B31" s="24" t="s">
        <v>127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26" t="s">
        <v>6</v>
      </c>
      <c r="U31" s="1"/>
      <c r="V31" s="20" t="s">
        <v>112</v>
      </c>
      <c r="W31" s="11"/>
      <c r="X31" s="11"/>
      <c r="Y31" s="11"/>
      <c r="Z31" s="11"/>
      <c r="AA31" s="10"/>
      <c r="AB31" s="11"/>
      <c r="AC31" s="11"/>
      <c r="AD31" s="58" t="s">
        <v>107</v>
      </c>
      <c r="AE31" s="10"/>
      <c r="AF31" s="11"/>
      <c r="AG31" s="11"/>
      <c r="AH31" s="58" t="s">
        <v>107</v>
      </c>
      <c r="AI31" s="10"/>
      <c r="AJ31" s="11"/>
      <c r="AK31" s="11"/>
      <c r="AL31" s="58" t="s">
        <v>107</v>
      </c>
      <c r="AM31" s="26" t="s">
        <v>6</v>
      </c>
      <c r="AN31" s="1"/>
    </row>
    <row r="32" ht="15.0" customHeight="1">
      <c r="U32" s="1"/>
      <c r="AN32" s="1"/>
    </row>
    <row r="33" ht="15.0" customHeight="1">
      <c r="B33" s="39" t="s">
        <v>58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2"/>
      <c r="AN33" s="1"/>
    </row>
    <row r="34" ht="15.0" customHeight="1">
      <c r="B34" s="20" t="s">
        <v>59</v>
      </c>
      <c r="C34" s="11"/>
      <c r="D34" s="11"/>
      <c r="E34" s="11"/>
      <c r="F34" s="11"/>
      <c r="G34" s="11"/>
      <c r="H34" s="11"/>
      <c r="I34" s="11"/>
      <c r="J34" s="11"/>
      <c r="K34" s="12"/>
      <c r="L34" s="20" t="s">
        <v>8</v>
      </c>
      <c r="M34" s="11"/>
      <c r="N34" s="11"/>
      <c r="O34" s="11"/>
      <c r="P34" s="11"/>
      <c r="Q34" s="11"/>
      <c r="R34" s="11"/>
      <c r="S34" s="11"/>
      <c r="T34" s="12"/>
      <c r="U34" s="20" t="s">
        <v>10</v>
      </c>
      <c r="V34" s="11"/>
      <c r="W34" s="11"/>
      <c r="X34" s="11"/>
      <c r="Y34" s="11"/>
      <c r="Z34" s="11"/>
      <c r="AA34" s="11"/>
      <c r="AB34" s="11"/>
      <c r="AC34" s="12"/>
      <c r="AD34" s="20" t="s">
        <v>60</v>
      </c>
      <c r="AE34" s="11"/>
      <c r="AF34" s="11"/>
      <c r="AG34" s="11"/>
      <c r="AH34" s="11"/>
      <c r="AI34" s="11"/>
      <c r="AJ34" s="11"/>
      <c r="AK34" s="11"/>
      <c r="AL34" s="11"/>
      <c r="AM34" s="12"/>
      <c r="AN34" s="1"/>
    </row>
    <row r="35" ht="15.0" customHeight="1">
      <c r="A35" s="40" t="s">
        <v>61</v>
      </c>
      <c r="B35" s="41" t="str">
        <f t="shared" ref="B35:B37" si="1">IFERROR(VLOOKUP(A35,catalogoAnalizadores!A:E,2,FALSE),"")</f>
        <v/>
      </c>
      <c r="C35" s="11"/>
      <c r="D35" s="11"/>
      <c r="E35" s="11"/>
      <c r="F35" s="11"/>
      <c r="G35" s="11"/>
      <c r="H35" s="11"/>
      <c r="I35" s="11"/>
      <c r="J35" s="11"/>
      <c r="K35" s="12"/>
      <c r="L35" s="41" t="str">
        <f t="shared" ref="L35:L37" si="2">IFERROR(VLOOKUP(A35,catalogoAnalizadores!A:E,3,FALSE),"")</f>
        <v/>
      </c>
      <c r="M35" s="11"/>
      <c r="N35" s="11"/>
      <c r="O35" s="11"/>
      <c r="P35" s="11"/>
      <c r="Q35" s="11"/>
      <c r="R35" s="11"/>
      <c r="S35" s="11"/>
      <c r="T35" s="12"/>
      <c r="U35" s="41" t="str">
        <f t="shared" ref="U35:U37" si="3">IFERROR(VLOOKUP(A35,catalogoAnalizadores!A:E,4,FALSE),"")</f>
        <v/>
      </c>
      <c r="V35" s="11"/>
      <c r="W35" s="11"/>
      <c r="X35" s="11"/>
      <c r="Y35" s="11"/>
      <c r="Z35" s="11"/>
      <c r="AA35" s="11"/>
      <c r="AB35" s="11"/>
      <c r="AC35" s="12"/>
      <c r="AD35" s="41" t="str">
        <f t="shared" ref="AD35:AD37" si="4">IFERROR(VLOOKUP(A35,catalogoAnalizadores!A:E,5,FALSE),"")</f>
        <v/>
      </c>
      <c r="AE35" s="11"/>
      <c r="AF35" s="11"/>
      <c r="AG35" s="11"/>
      <c r="AH35" s="11"/>
      <c r="AI35" s="11"/>
      <c r="AJ35" s="11"/>
      <c r="AK35" s="11"/>
      <c r="AL35" s="11"/>
      <c r="AM35" s="12"/>
      <c r="AN35" s="1"/>
    </row>
    <row r="36" ht="15.0" customHeight="1">
      <c r="A36" s="40" t="s">
        <v>61</v>
      </c>
      <c r="B36" s="41" t="str">
        <f t="shared" si="1"/>
        <v/>
      </c>
      <c r="C36" s="11"/>
      <c r="D36" s="11"/>
      <c r="E36" s="11"/>
      <c r="F36" s="11"/>
      <c r="G36" s="11"/>
      <c r="H36" s="11"/>
      <c r="I36" s="11"/>
      <c r="J36" s="11"/>
      <c r="K36" s="12"/>
      <c r="L36" s="41" t="str">
        <f t="shared" si="2"/>
        <v/>
      </c>
      <c r="M36" s="11"/>
      <c r="N36" s="11"/>
      <c r="O36" s="11"/>
      <c r="P36" s="11"/>
      <c r="Q36" s="11"/>
      <c r="R36" s="11"/>
      <c r="S36" s="11"/>
      <c r="T36" s="12"/>
      <c r="U36" s="41" t="str">
        <f t="shared" si="3"/>
        <v/>
      </c>
      <c r="V36" s="11"/>
      <c r="W36" s="11"/>
      <c r="X36" s="11"/>
      <c r="Y36" s="11"/>
      <c r="Z36" s="11"/>
      <c r="AA36" s="11"/>
      <c r="AB36" s="11"/>
      <c r="AC36" s="12"/>
      <c r="AD36" s="41" t="str">
        <f t="shared" si="4"/>
        <v/>
      </c>
      <c r="AE36" s="11"/>
      <c r="AF36" s="11"/>
      <c r="AG36" s="11"/>
      <c r="AH36" s="11"/>
      <c r="AI36" s="11"/>
      <c r="AJ36" s="11"/>
      <c r="AK36" s="11"/>
      <c r="AL36" s="11"/>
      <c r="AM36" s="12"/>
      <c r="AN36" s="1"/>
    </row>
    <row r="37" ht="15.0" customHeight="1">
      <c r="A37" s="40" t="s">
        <v>61</v>
      </c>
      <c r="B37" s="41" t="str">
        <f t="shared" si="1"/>
        <v/>
      </c>
      <c r="C37" s="11"/>
      <c r="D37" s="11"/>
      <c r="E37" s="11"/>
      <c r="F37" s="11"/>
      <c r="G37" s="11"/>
      <c r="H37" s="11"/>
      <c r="I37" s="11"/>
      <c r="J37" s="11"/>
      <c r="K37" s="12"/>
      <c r="L37" s="41" t="str">
        <f t="shared" si="2"/>
        <v/>
      </c>
      <c r="M37" s="11"/>
      <c r="N37" s="11"/>
      <c r="O37" s="11"/>
      <c r="P37" s="11"/>
      <c r="Q37" s="11"/>
      <c r="R37" s="11"/>
      <c r="S37" s="11"/>
      <c r="T37" s="12"/>
      <c r="U37" s="41" t="str">
        <f t="shared" si="3"/>
        <v/>
      </c>
      <c r="V37" s="11"/>
      <c r="W37" s="11"/>
      <c r="X37" s="11"/>
      <c r="Y37" s="11"/>
      <c r="Z37" s="11"/>
      <c r="AA37" s="11"/>
      <c r="AB37" s="11"/>
      <c r="AC37" s="12"/>
      <c r="AD37" s="41" t="str">
        <f t="shared" si="4"/>
        <v/>
      </c>
      <c r="AE37" s="11"/>
      <c r="AF37" s="11"/>
      <c r="AG37" s="11"/>
      <c r="AH37" s="11"/>
      <c r="AI37" s="11"/>
      <c r="AJ37" s="11"/>
      <c r="AK37" s="11"/>
      <c r="AL37" s="11"/>
      <c r="AM37" s="12"/>
      <c r="AN37" s="1"/>
    </row>
    <row r="38" ht="15.0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ht="15.0" customHeight="1">
      <c r="B39" s="39" t="s">
        <v>62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2"/>
      <c r="AN39" s="1"/>
    </row>
    <row r="40" ht="15.0" customHeight="1">
      <c r="B40" s="25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2"/>
      <c r="AN40" s="1"/>
    </row>
    <row r="41" ht="15.0" customHeight="1">
      <c r="B41" s="25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2"/>
      <c r="AN41" s="1"/>
    </row>
    <row r="42" ht="15.0" customHeight="1">
      <c r="B42" s="25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2"/>
      <c r="AN42" s="1"/>
    </row>
    <row r="43" ht="15.0" customHeight="1">
      <c r="B43" s="25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2"/>
      <c r="AN43" s="1"/>
    </row>
    <row r="44" ht="15.0" customHeight="1">
      <c r="A44" s="1"/>
      <c r="AN44" s="1"/>
    </row>
    <row r="45" ht="15.0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ht="15.0" customHeight="1">
      <c r="M46" s="7"/>
      <c r="N46" s="7"/>
      <c r="O46" s="1"/>
      <c r="AB46" s="7"/>
      <c r="AC46" s="1"/>
      <c r="AD46" s="7"/>
      <c r="AN46" s="1"/>
    </row>
    <row r="47" ht="27.0" customHeight="1">
      <c r="B47" s="42" t="s">
        <v>63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"/>
      <c r="N47" s="1"/>
      <c r="O47" s="1"/>
      <c r="P47" s="1"/>
      <c r="Q47" s="42" t="s">
        <v>64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"/>
      <c r="AC47" s="1"/>
      <c r="AD47" s="42" t="s">
        <v>65</v>
      </c>
      <c r="AE47" s="18"/>
      <c r="AF47" s="18"/>
      <c r="AG47" s="18"/>
      <c r="AH47" s="18"/>
      <c r="AI47" s="18"/>
      <c r="AJ47" s="18"/>
      <c r="AK47" s="18"/>
      <c r="AL47" s="18"/>
      <c r="AM47" s="18"/>
      <c r="AN47" s="1"/>
    </row>
    <row r="48" ht="15.0" customHeight="1">
      <c r="AN48" s="1"/>
    </row>
    <row r="49" ht="15.0" customHeight="1">
      <c r="AN49" s="1"/>
    </row>
    <row r="50" ht="15.0" customHeight="1">
      <c r="AN50" s="1"/>
    </row>
    <row r="51" ht="15.0" customHeight="1">
      <c r="A51" s="1"/>
      <c r="AN51" s="1"/>
    </row>
    <row r="52" ht="15.0" customHeight="1">
      <c r="A52" s="1"/>
      <c r="AN52" s="1"/>
    </row>
    <row r="53" ht="15.0" customHeight="1">
      <c r="A53" s="1"/>
      <c r="AN53" s="1"/>
    </row>
    <row r="54" ht="15.0" customHeight="1">
      <c r="AN54" s="1"/>
    </row>
    <row r="55" ht="15.0" customHeight="1">
      <c r="AN55" s="1"/>
    </row>
    <row r="56" ht="15.0" customHeight="1">
      <c r="AN56" s="1"/>
    </row>
    <row r="57" ht="15.0" customHeight="1">
      <c r="AN57" s="1"/>
    </row>
    <row r="58" ht="15.0" customHeight="1">
      <c r="AN58" s="1"/>
    </row>
    <row r="59" ht="15.0" customHeight="1">
      <c r="AN59" s="1"/>
    </row>
    <row r="60" ht="15.0" customHeight="1">
      <c r="A60" s="1"/>
      <c r="AN60" s="1"/>
    </row>
    <row r="61" ht="15.0" customHeight="1">
      <c r="AN61" s="1"/>
    </row>
    <row r="62" ht="15.0" customHeight="1"/>
    <row r="63" ht="15.0" customHeight="1">
      <c r="AN63" s="1"/>
    </row>
    <row r="64" ht="15.0" customHeight="1">
      <c r="AN64" s="1"/>
    </row>
    <row r="65" ht="15.0" customHeight="1">
      <c r="AN65" s="1"/>
    </row>
    <row r="66" ht="15.0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ht="15.0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ht="15.0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ht="15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ht="15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ht="15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ht="15.0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ht="15.75" customHeight="1">
      <c r="A108" s="1"/>
      <c r="B108" s="1"/>
    </row>
    <row r="109" ht="15.75" customHeight="1">
      <c r="A109" s="1"/>
      <c r="B109" s="1"/>
    </row>
    <row r="110" ht="15.75" customHeight="1">
      <c r="A110" s="1"/>
      <c r="B110" s="1"/>
    </row>
    <row r="111" ht="15.75" customHeight="1">
      <c r="A111" s="1"/>
      <c r="B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V20:Z20"/>
    <mergeCell ref="AI20:AK20"/>
    <mergeCell ref="B20:T20"/>
    <mergeCell ref="B21:S21"/>
    <mergeCell ref="V21:Z21"/>
    <mergeCell ref="AA21:AC21"/>
    <mergeCell ref="B22:S22"/>
    <mergeCell ref="B23:T23"/>
    <mergeCell ref="V23:AL23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AE17:AH17"/>
    <mergeCell ref="AI17:AL17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AE21:AG21"/>
    <mergeCell ref="AI21:AK21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L35:T35"/>
    <mergeCell ref="U35:AC35"/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</mergeCells>
  <dataValidations>
    <dataValidation type="list" allowBlank="1" sqref="A35:A37">
      <formula1>catalogoAnalizadores!$A$2:$A1000</formula1>
    </dataValidation>
    <dataValidation type="list" allowBlank="1" showErrorMessage="1" sqref="AL10 T17:T18 AM18:AM21 T21:T22 AM23:AM24 T24:T27 T29:T31 AM28:AM31">
      <formula1>"✓,✖,N/A"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29"/>
    <col customWidth="1" min="2" max="10" width="3.0"/>
    <col customWidth="1" min="11" max="13" width="3.57"/>
    <col customWidth="1" min="14" max="17" width="3.0"/>
    <col customWidth="1" min="18" max="19" width="2.71"/>
    <col customWidth="1" min="20" max="20" width="9.57"/>
    <col customWidth="1" min="21" max="27" width="2.71"/>
    <col customWidth="1" min="28" max="28" width="4.57"/>
    <col customWidth="1" min="29" max="39" width="5.0"/>
    <col customWidth="1" min="40" max="40" width="5.29"/>
  </cols>
  <sheetData>
    <row r="1" ht="15.0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</row>
    <row r="2" ht="15.0" customHeight="1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</row>
    <row r="3" ht="15.0" customHeight="1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</row>
    <row r="4" ht="15.0" customHeight="1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</row>
    <row r="5" ht="15.0" customHeight="1">
      <c r="A5" s="61"/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</row>
    <row r="6" ht="15.0" customHeight="1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</row>
    <row r="7" ht="15.0" customHeight="1">
      <c r="A7" s="61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1"/>
    </row>
    <row r="8" ht="15.0" customHeight="1">
      <c r="A8" s="61"/>
      <c r="B8" s="62"/>
      <c r="C8" s="63" t="s">
        <v>128</v>
      </c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4" t="s">
        <v>1</v>
      </c>
      <c r="AF8" s="65"/>
      <c r="AG8" s="6"/>
      <c r="AH8" s="6"/>
      <c r="AI8" s="6"/>
      <c r="AJ8" s="6"/>
      <c r="AK8" s="6"/>
      <c r="AL8" s="6"/>
      <c r="AM8" s="6"/>
      <c r="AN8" s="62"/>
    </row>
    <row r="9" ht="15.0" customHeight="1">
      <c r="A9" s="61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2"/>
    </row>
    <row r="10" ht="15.0" customHeight="1">
      <c r="A10" s="61"/>
      <c r="B10" s="66" t="s">
        <v>2</v>
      </c>
      <c r="D10" s="67" t="str">
        <f> TEXT(DATE(YEAR(TODAY()), MONTH(TODAY()), 25), "dd/mmm/yyyy")</f>
        <v>25/jul/2026</v>
      </c>
      <c r="I10" s="61"/>
      <c r="J10" s="61"/>
      <c r="K10" s="61"/>
      <c r="L10" s="61"/>
      <c r="M10" s="61"/>
      <c r="N10" s="61"/>
      <c r="O10" s="61"/>
      <c r="P10" s="62"/>
      <c r="Q10" s="62"/>
      <c r="R10" s="62"/>
      <c r="S10" s="64" t="s">
        <v>3</v>
      </c>
      <c r="Y10" s="61" t="s">
        <v>4</v>
      </c>
      <c r="AB10" s="61"/>
      <c r="AC10" s="61"/>
      <c r="AD10" s="61"/>
      <c r="AE10" s="61"/>
      <c r="AF10" s="61"/>
      <c r="AG10" s="61"/>
      <c r="AH10" s="62"/>
      <c r="AI10" s="68" t="s">
        <v>5</v>
      </c>
      <c r="AJ10" s="11"/>
      <c r="AK10" s="12"/>
      <c r="AL10" s="69" t="s">
        <v>6</v>
      </c>
      <c r="AM10" s="12"/>
      <c r="AN10" s="61"/>
    </row>
    <row r="11" ht="15.0" customHeight="1">
      <c r="A11" s="61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</row>
    <row r="12" ht="15.0" customHeight="1">
      <c r="A12" s="61"/>
      <c r="B12" s="70" t="s">
        <v>7</v>
      </c>
      <c r="C12" s="11"/>
      <c r="D12" s="11"/>
      <c r="E12" s="11"/>
      <c r="F12" s="12"/>
      <c r="G12" s="47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70" t="s">
        <v>8</v>
      </c>
      <c r="V12" s="11"/>
      <c r="W12" s="11"/>
      <c r="X12" s="11"/>
      <c r="Y12" s="11"/>
      <c r="Z12" s="12"/>
      <c r="AA12" s="47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2"/>
      <c r="AN12" s="61"/>
    </row>
    <row r="13" ht="15.0" customHeight="1">
      <c r="A13" s="62"/>
      <c r="B13" s="70" t="s">
        <v>9</v>
      </c>
      <c r="C13" s="11"/>
      <c r="D13" s="11"/>
      <c r="E13" s="11"/>
      <c r="F13" s="12"/>
      <c r="G13" s="47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70" t="s">
        <v>10</v>
      </c>
      <c r="V13" s="11"/>
      <c r="W13" s="11"/>
      <c r="X13" s="11"/>
      <c r="Y13" s="11"/>
      <c r="Z13" s="12"/>
      <c r="AA13" s="47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2"/>
      <c r="AN13" s="61"/>
    </row>
    <row r="14" ht="15.0" customHeight="1">
      <c r="A14" s="61"/>
      <c r="B14" s="70" t="s">
        <v>11</v>
      </c>
      <c r="C14" s="11"/>
      <c r="D14" s="11"/>
      <c r="E14" s="11"/>
      <c r="F14" s="12"/>
      <c r="G14" s="47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70" t="s">
        <v>12</v>
      </c>
      <c r="V14" s="11"/>
      <c r="W14" s="11"/>
      <c r="X14" s="11"/>
      <c r="Y14" s="11"/>
      <c r="Z14" s="12"/>
      <c r="AA14" s="47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2"/>
      <c r="AN14" s="61"/>
    </row>
    <row r="15" ht="15.0" customHeight="1">
      <c r="A15" s="62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ht="15.0" customHeight="1">
      <c r="A16" s="62"/>
      <c r="B16" s="43" t="s">
        <v>129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61"/>
      <c r="V16" s="71" t="s">
        <v>52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61"/>
    </row>
    <row r="17" ht="15.0" customHeight="1">
      <c r="A17" s="62"/>
      <c r="B17" s="44" t="s">
        <v>15</v>
      </c>
      <c r="C17" s="11"/>
      <c r="D17" s="11"/>
      <c r="E17" s="11"/>
      <c r="F17" s="11"/>
      <c r="G17" s="11"/>
      <c r="H17" s="11"/>
      <c r="I17" s="11"/>
      <c r="J17" s="12"/>
      <c r="K17" s="44" t="s">
        <v>16</v>
      </c>
      <c r="L17" s="11"/>
      <c r="M17" s="12"/>
      <c r="N17" s="44" t="s">
        <v>17</v>
      </c>
      <c r="O17" s="11"/>
      <c r="P17" s="11"/>
      <c r="Q17" s="11"/>
      <c r="R17" s="11"/>
      <c r="S17" s="12"/>
      <c r="T17" s="72"/>
      <c r="U17" s="61"/>
      <c r="V17" s="49" t="s">
        <v>130</v>
      </c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9"/>
      <c r="AL17" s="73" t="s">
        <v>6</v>
      </c>
      <c r="AM17" s="19"/>
      <c r="AN17" s="61"/>
    </row>
    <row r="18" ht="15.0" customHeight="1">
      <c r="A18" s="61"/>
      <c r="B18" s="47" t="s">
        <v>19</v>
      </c>
      <c r="C18" s="11"/>
      <c r="D18" s="11"/>
      <c r="E18" s="11"/>
      <c r="F18" s="11"/>
      <c r="G18" s="11"/>
      <c r="H18" s="11"/>
      <c r="I18" s="11"/>
      <c r="J18" s="12"/>
      <c r="K18" s="48" t="s">
        <v>20</v>
      </c>
      <c r="L18" s="11"/>
      <c r="M18" s="12"/>
      <c r="N18" s="47"/>
      <c r="O18" s="11"/>
      <c r="P18" s="11"/>
      <c r="Q18" s="12"/>
      <c r="R18" s="48" t="s">
        <v>31</v>
      </c>
      <c r="S18" s="12"/>
      <c r="T18" s="54" t="s">
        <v>6</v>
      </c>
      <c r="U18" s="61"/>
      <c r="V18" s="47" t="s">
        <v>131</v>
      </c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2"/>
      <c r="AL18" s="73" t="s">
        <v>6</v>
      </c>
      <c r="AM18" s="19"/>
      <c r="AN18" s="61"/>
    </row>
    <row r="19" ht="15.0" customHeight="1">
      <c r="A19" s="62"/>
      <c r="B19" s="47" t="s">
        <v>22</v>
      </c>
      <c r="C19" s="11"/>
      <c r="D19" s="11"/>
      <c r="E19" s="11"/>
      <c r="F19" s="11"/>
      <c r="G19" s="11"/>
      <c r="H19" s="11"/>
      <c r="I19" s="11"/>
      <c r="J19" s="12"/>
      <c r="K19" s="48" t="s">
        <v>23</v>
      </c>
      <c r="L19" s="11"/>
      <c r="M19" s="12"/>
      <c r="N19" s="47"/>
      <c r="O19" s="11"/>
      <c r="P19" s="11"/>
      <c r="Q19" s="12"/>
      <c r="R19" s="74" t="s">
        <v>24</v>
      </c>
      <c r="S19" s="12"/>
      <c r="T19" s="54" t="s">
        <v>6</v>
      </c>
      <c r="U19" s="61"/>
      <c r="V19" s="47" t="s">
        <v>132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2"/>
      <c r="AL19" s="73" t="s">
        <v>6</v>
      </c>
      <c r="AM19" s="19"/>
      <c r="AN19" s="61"/>
    </row>
    <row r="20" ht="15.0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47" t="s">
        <v>133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2"/>
      <c r="AL20" s="73" t="s">
        <v>6</v>
      </c>
      <c r="AM20" s="19"/>
      <c r="AN20" s="61"/>
    </row>
    <row r="21" ht="15.0" customHeight="1">
      <c r="A21" s="62"/>
      <c r="B21" s="43" t="s">
        <v>134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2"/>
      <c r="U21" s="62"/>
      <c r="V21" s="47" t="s">
        <v>135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2"/>
      <c r="AL21" s="73" t="s">
        <v>6</v>
      </c>
      <c r="AM21" s="19"/>
      <c r="AN21" s="61"/>
    </row>
    <row r="22" ht="15.0" customHeight="1">
      <c r="A22" s="62"/>
      <c r="B22" s="44" t="s">
        <v>15</v>
      </c>
      <c r="C22" s="11"/>
      <c r="D22" s="11"/>
      <c r="E22" s="11"/>
      <c r="F22" s="11"/>
      <c r="G22" s="11"/>
      <c r="H22" s="11"/>
      <c r="I22" s="11"/>
      <c r="J22" s="12"/>
      <c r="K22" s="44" t="s">
        <v>16</v>
      </c>
      <c r="L22" s="11"/>
      <c r="M22" s="12"/>
      <c r="N22" s="45" t="s">
        <v>17</v>
      </c>
      <c r="O22" s="18"/>
      <c r="P22" s="18"/>
      <c r="Q22" s="18"/>
      <c r="R22" s="18"/>
      <c r="S22" s="19"/>
      <c r="T22" s="72"/>
      <c r="U22" s="62"/>
      <c r="V22" s="47" t="s">
        <v>136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2"/>
      <c r="AL22" s="73" t="s">
        <v>6</v>
      </c>
      <c r="AM22" s="19"/>
      <c r="AN22" s="61"/>
    </row>
    <row r="23" ht="15.0" customHeight="1">
      <c r="A23" s="62"/>
      <c r="B23" s="47" t="s">
        <v>29</v>
      </c>
      <c r="C23" s="11"/>
      <c r="D23" s="11"/>
      <c r="E23" s="11"/>
      <c r="F23" s="11"/>
      <c r="G23" s="11"/>
      <c r="H23" s="11"/>
      <c r="I23" s="11"/>
      <c r="J23" s="12"/>
      <c r="K23" s="48" t="s">
        <v>30</v>
      </c>
      <c r="L23" s="11"/>
      <c r="M23" s="12"/>
      <c r="N23" s="47"/>
      <c r="O23" s="11"/>
      <c r="P23" s="11"/>
      <c r="Q23" s="11"/>
      <c r="R23" s="75" t="s">
        <v>31</v>
      </c>
      <c r="S23" s="12"/>
      <c r="T23" s="51" t="s">
        <v>6</v>
      </c>
      <c r="U23" s="62"/>
      <c r="V23" s="47" t="s">
        <v>137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2"/>
      <c r="AL23" s="73" t="s">
        <v>6</v>
      </c>
      <c r="AM23" s="19"/>
      <c r="AN23" s="61"/>
    </row>
    <row r="24" ht="15.0" customHeight="1">
      <c r="A24" s="62"/>
      <c r="B24" s="47" t="s">
        <v>32</v>
      </c>
      <c r="C24" s="11"/>
      <c r="D24" s="11"/>
      <c r="E24" s="11"/>
      <c r="F24" s="11"/>
      <c r="G24" s="11"/>
      <c r="H24" s="11"/>
      <c r="I24" s="11"/>
      <c r="J24" s="12"/>
      <c r="K24" s="48" t="s">
        <v>33</v>
      </c>
      <c r="L24" s="11"/>
      <c r="M24" s="12"/>
      <c r="N24" s="47"/>
      <c r="O24" s="11"/>
      <c r="P24" s="11"/>
      <c r="Q24" s="11"/>
      <c r="R24" s="76" t="s">
        <v>24</v>
      </c>
      <c r="S24" s="12"/>
      <c r="T24" s="51" t="s">
        <v>6</v>
      </c>
      <c r="U24" s="62"/>
      <c r="V24" s="47" t="s">
        <v>138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2"/>
      <c r="AL24" s="69" t="s">
        <v>6</v>
      </c>
      <c r="AM24" s="12"/>
      <c r="AN24" s="61"/>
    </row>
    <row r="25" ht="14.25" customHeight="1">
      <c r="A25" s="62"/>
      <c r="B25" s="47" t="s">
        <v>34</v>
      </c>
      <c r="C25" s="11"/>
      <c r="D25" s="11"/>
      <c r="E25" s="11"/>
      <c r="F25" s="11"/>
      <c r="G25" s="11"/>
      <c r="H25" s="11"/>
      <c r="I25" s="11"/>
      <c r="J25" s="12"/>
      <c r="K25" s="48" t="s">
        <v>33</v>
      </c>
      <c r="L25" s="11"/>
      <c r="M25" s="12"/>
      <c r="N25" s="47"/>
      <c r="O25" s="11"/>
      <c r="P25" s="11"/>
      <c r="Q25" s="11"/>
      <c r="R25" s="76" t="s">
        <v>24</v>
      </c>
      <c r="S25" s="12"/>
      <c r="T25" s="51" t="s">
        <v>6</v>
      </c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1"/>
    </row>
    <row r="26" ht="14.25" customHeight="1">
      <c r="A26" s="62"/>
      <c r="B26" s="47" t="s">
        <v>36</v>
      </c>
      <c r="C26" s="11"/>
      <c r="D26" s="11"/>
      <c r="E26" s="11"/>
      <c r="F26" s="11"/>
      <c r="G26" s="11"/>
      <c r="H26" s="11"/>
      <c r="I26" s="11"/>
      <c r="J26" s="12"/>
      <c r="K26" s="48" t="s">
        <v>37</v>
      </c>
      <c r="L26" s="11"/>
      <c r="M26" s="12"/>
      <c r="N26" s="47"/>
      <c r="O26" s="11"/>
      <c r="P26" s="11"/>
      <c r="Q26" s="11"/>
      <c r="R26" s="77" t="s">
        <v>38</v>
      </c>
      <c r="S26" s="12"/>
      <c r="T26" s="51" t="s">
        <v>6</v>
      </c>
      <c r="U26" s="61"/>
      <c r="V26" s="71" t="s">
        <v>139</v>
      </c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9"/>
      <c r="AN26" s="61"/>
    </row>
    <row r="27" ht="14.25" customHeight="1">
      <c r="A27" s="62"/>
      <c r="B27" s="47" t="s">
        <v>39</v>
      </c>
      <c r="C27" s="11"/>
      <c r="D27" s="11"/>
      <c r="E27" s="11"/>
      <c r="F27" s="11"/>
      <c r="G27" s="11"/>
      <c r="H27" s="11"/>
      <c r="I27" s="11"/>
      <c r="J27" s="12"/>
      <c r="K27" s="48" t="s">
        <v>40</v>
      </c>
      <c r="L27" s="11"/>
      <c r="M27" s="12"/>
      <c r="N27" s="47"/>
      <c r="O27" s="11"/>
      <c r="P27" s="11"/>
      <c r="Q27" s="11"/>
      <c r="R27" s="77" t="s">
        <v>21</v>
      </c>
      <c r="S27" s="12"/>
      <c r="T27" s="51" t="s">
        <v>6</v>
      </c>
      <c r="U27" s="61"/>
      <c r="V27" s="47" t="s">
        <v>140</v>
      </c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2"/>
      <c r="AL27" s="69" t="s">
        <v>6</v>
      </c>
      <c r="AM27" s="12"/>
      <c r="AN27" s="61"/>
    </row>
    <row r="28" ht="14.25" customHeight="1">
      <c r="A28" s="61"/>
      <c r="B28" s="47" t="s">
        <v>41</v>
      </c>
      <c r="C28" s="11"/>
      <c r="D28" s="11"/>
      <c r="E28" s="11"/>
      <c r="F28" s="11"/>
      <c r="G28" s="11"/>
      <c r="H28" s="11"/>
      <c r="I28" s="11"/>
      <c r="J28" s="12"/>
      <c r="K28" s="48" t="s">
        <v>42</v>
      </c>
      <c r="L28" s="11"/>
      <c r="M28" s="12"/>
      <c r="N28" s="47"/>
      <c r="O28" s="11"/>
      <c r="P28" s="11"/>
      <c r="Q28" s="11"/>
      <c r="R28" s="77" t="s">
        <v>21</v>
      </c>
      <c r="S28" s="12"/>
      <c r="T28" s="51" t="s">
        <v>6</v>
      </c>
      <c r="U28" s="61"/>
      <c r="V28" s="47" t="s">
        <v>141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2"/>
      <c r="AL28" s="69" t="s">
        <v>6</v>
      </c>
      <c r="AM28" s="12"/>
      <c r="AN28" s="61"/>
    </row>
    <row r="29" ht="14.25" customHeight="1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1"/>
      <c r="V29" s="47" t="s">
        <v>142</v>
      </c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2"/>
      <c r="AL29" s="69" t="s">
        <v>6</v>
      </c>
      <c r="AM29" s="12"/>
      <c r="AN29" s="61"/>
    </row>
    <row r="30" ht="14.25" customHeight="1">
      <c r="A30" s="62"/>
      <c r="B30" s="43" t="s">
        <v>143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2"/>
      <c r="U30" s="61"/>
      <c r="V30" s="47" t="s">
        <v>144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2"/>
      <c r="AL30" s="69" t="s">
        <v>6</v>
      </c>
      <c r="AM30" s="12"/>
      <c r="AN30" s="61"/>
    </row>
    <row r="31" ht="14.25" customHeight="1">
      <c r="A31" s="62"/>
      <c r="B31" s="47" t="s">
        <v>145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2"/>
      <c r="T31" s="72"/>
      <c r="U31" s="61"/>
      <c r="V31" s="47" t="s">
        <v>146</v>
      </c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2"/>
      <c r="AL31" s="69" t="s">
        <v>6</v>
      </c>
      <c r="AM31" s="12"/>
      <c r="AN31" s="61"/>
    </row>
    <row r="32" ht="14.25" customHeight="1">
      <c r="A32" s="62"/>
      <c r="B32" s="47" t="s">
        <v>147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2"/>
      <c r="T32" s="72"/>
      <c r="U32" s="61"/>
      <c r="V32" s="47" t="s">
        <v>148</v>
      </c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2"/>
      <c r="AL32" s="69" t="s">
        <v>6</v>
      </c>
      <c r="AM32" s="12"/>
      <c r="AN32" s="61"/>
    </row>
    <row r="33" ht="14.25" customHeight="1">
      <c r="A33" s="62"/>
      <c r="B33" s="47" t="s">
        <v>149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2"/>
      <c r="T33" s="72"/>
      <c r="U33" s="61"/>
      <c r="V33" s="47" t="s">
        <v>150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2"/>
      <c r="AL33" s="69" t="s">
        <v>6</v>
      </c>
      <c r="AM33" s="12"/>
      <c r="AN33" s="61"/>
    </row>
    <row r="34" ht="14.25" customHeight="1">
      <c r="A34" s="62"/>
      <c r="B34" s="47" t="s">
        <v>151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2"/>
      <c r="T34" s="72"/>
      <c r="U34" s="61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1"/>
    </row>
    <row r="35" ht="14.25" customHeight="1">
      <c r="A35" s="62"/>
      <c r="B35" s="47" t="s">
        <v>152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2"/>
      <c r="T35" s="72"/>
      <c r="U35" s="61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1"/>
    </row>
    <row r="36" ht="14.25" customHeight="1">
      <c r="A36" s="62"/>
      <c r="B36" s="47" t="s">
        <v>153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2"/>
      <c r="T36" s="72"/>
      <c r="U36" s="61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1"/>
    </row>
    <row r="37" ht="14.25" customHeight="1">
      <c r="A37" s="62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1"/>
    </row>
    <row r="38" ht="14.25" customHeight="1">
      <c r="A38" s="62"/>
      <c r="B38" s="78" t="s">
        <v>58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2"/>
      <c r="AN38" s="61"/>
    </row>
    <row r="39" ht="14.25" customHeight="1">
      <c r="A39" s="62"/>
      <c r="B39" s="44" t="s">
        <v>59</v>
      </c>
      <c r="C39" s="11"/>
      <c r="D39" s="11"/>
      <c r="E39" s="11"/>
      <c r="F39" s="11"/>
      <c r="G39" s="11"/>
      <c r="H39" s="11"/>
      <c r="I39" s="11"/>
      <c r="J39" s="11"/>
      <c r="K39" s="12"/>
      <c r="L39" s="44" t="s">
        <v>8</v>
      </c>
      <c r="M39" s="11"/>
      <c r="N39" s="11"/>
      <c r="O39" s="11"/>
      <c r="P39" s="11"/>
      <c r="Q39" s="11"/>
      <c r="R39" s="11"/>
      <c r="S39" s="11"/>
      <c r="T39" s="12"/>
      <c r="U39" s="44" t="s">
        <v>10</v>
      </c>
      <c r="V39" s="11"/>
      <c r="W39" s="11"/>
      <c r="X39" s="11"/>
      <c r="Y39" s="11"/>
      <c r="Z39" s="11"/>
      <c r="AA39" s="11"/>
      <c r="AB39" s="11"/>
      <c r="AC39" s="12"/>
      <c r="AD39" s="44" t="s">
        <v>60</v>
      </c>
      <c r="AE39" s="11"/>
      <c r="AF39" s="11"/>
      <c r="AG39" s="11"/>
      <c r="AH39" s="11"/>
      <c r="AI39" s="11"/>
      <c r="AJ39" s="11"/>
      <c r="AK39" s="11"/>
      <c r="AL39" s="11"/>
      <c r="AM39" s="12"/>
      <c r="AN39" s="61"/>
    </row>
    <row r="40" ht="15.75" customHeight="1">
      <c r="A40" s="62" t="s">
        <v>61</v>
      </c>
      <c r="B40" s="41" t="str">
        <f t="shared" ref="B40:B42" si="1">IFERROR(VLOOKUP(A40,catalogoAnalizadores!A:E,2,FALSE),"")</f>
        <v/>
      </c>
      <c r="C40" s="11"/>
      <c r="D40" s="11"/>
      <c r="E40" s="11"/>
      <c r="F40" s="11"/>
      <c r="G40" s="11"/>
      <c r="H40" s="11"/>
      <c r="I40" s="11"/>
      <c r="J40" s="11"/>
      <c r="K40" s="12"/>
      <c r="L40" s="41" t="str">
        <f t="shared" ref="L40:L42" si="2">IFERROR(VLOOKUP(A40,catalogoAnalizadores!A:E,3,FALSE),"")</f>
        <v/>
      </c>
      <c r="M40" s="11"/>
      <c r="N40" s="11"/>
      <c r="O40" s="11"/>
      <c r="P40" s="11"/>
      <c r="Q40" s="11"/>
      <c r="R40" s="11"/>
      <c r="S40" s="11"/>
      <c r="T40" s="12"/>
      <c r="U40" s="41" t="str">
        <f t="shared" ref="U40:U42" si="3">IFERROR(VLOOKUP(A40,catalogoAnalizadores!A:E,4,FALSE),"")</f>
        <v/>
      </c>
      <c r="V40" s="11"/>
      <c r="W40" s="11"/>
      <c r="X40" s="11"/>
      <c r="Y40" s="11"/>
      <c r="Z40" s="11"/>
      <c r="AA40" s="11"/>
      <c r="AB40" s="11"/>
      <c r="AC40" s="12"/>
      <c r="AD40" s="41" t="str">
        <f t="shared" ref="AD40:AD42" si="4">IFERROR(VLOOKUP(A40,catalogoAnalizadores!A:E,5,FALSE),"")</f>
        <v/>
      </c>
      <c r="AE40" s="11"/>
      <c r="AF40" s="11"/>
      <c r="AG40" s="11"/>
      <c r="AH40" s="11"/>
      <c r="AI40" s="11"/>
      <c r="AJ40" s="11"/>
      <c r="AK40" s="11"/>
      <c r="AL40" s="11"/>
      <c r="AM40" s="12"/>
      <c r="AN40" s="61"/>
    </row>
    <row r="41" ht="15.0" customHeight="1">
      <c r="A41" s="62" t="s">
        <v>61</v>
      </c>
      <c r="B41" s="41" t="str">
        <f t="shared" si="1"/>
        <v/>
      </c>
      <c r="C41" s="11"/>
      <c r="D41" s="11"/>
      <c r="E41" s="11"/>
      <c r="F41" s="11"/>
      <c r="G41" s="11"/>
      <c r="H41" s="11"/>
      <c r="I41" s="11"/>
      <c r="J41" s="11"/>
      <c r="K41" s="12"/>
      <c r="L41" s="41" t="str">
        <f t="shared" si="2"/>
        <v/>
      </c>
      <c r="M41" s="11"/>
      <c r="N41" s="11"/>
      <c r="O41" s="11"/>
      <c r="P41" s="11"/>
      <c r="Q41" s="11"/>
      <c r="R41" s="11"/>
      <c r="S41" s="11"/>
      <c r="T41" s="12"/>
      <c r="U41" s="41" t="str">
        <f t="shared" si="3"/>
        <v/>
      </c>
      <c r="V41" s="11"/>
      <c r="W41" s="11"/>
      <c r="X41" s="11"/>
      <c r="Y41" s="11"/>
      <c r="Z41" s="11"/>
      <c r="AA41" s="11"/>
      <c r="AB41" s="11"/>
      <c r="AC41" s="12"/>
      <c r="AD41" s="41" t="str">
        <f t="shared" si="4"/>
        <v/>
      </c>
      <c r="AE41" s="11"/>
      <c r="AF41" s="11"/>
      <c r="AG41" s="11"/>
      <c r="AH41" s="11"/>
      <c r="AI41" s="11"/>
      <c r="AJ41" s="11"/>
      <c r="AK41" s="11"/>
      <c r="AL41" s="11"/>
      <c r="AM41" s="12"/>
      <c r="AN41" s="61"/>
    </row>
    <row r="42" ht="15.75" customHeight="1">
      <c r="A42" s="62" t="s">
        <v>61</v>
      </c>
      <c r="B42" s="41" t="str">
        <f t="shared" si="1"/>
        <v/>
      </c>
      <c r="C42" s="11"/>
      <c r="D42" s="11"/>
      <c r="E42" s="11"/>
      <c r="F42" s="11"/>
      <c r="G42" s="11"/>
      <c r="H42" s="11"/>
      <c r="I42" s="11"/>
      <c r="J42" s="11"/>
      <c r="K42" s="12"/>
      <c r="L42" s="41" t="str">
        <f t="shared" si="2"/>
        <v/>
      </c>
      <c r="M42" s="11"/>
      <c r="N42" s="11"/>
      <c r="O42" s="11"/>
      <c r="P42" s="11"/>
      <c r="Q42" s="11"/>
      <c r="R42" s="11"/>
      <c r="S42" s="11"/>
      <c r="T42" s="12"/>
      <c r="U42" s="41" t="str">
        <f t="shared" si="3"/>
        <v/>
      </c>
      <c r="V42" s="11"/>
      <c r="W42" s="11"/>
      <c r="X42" s="11"/>
      <c r="Y42" s="11"/>
      <c r="Z42" s="11"/>
      <c r="AA42" s="11"/>
      <c r="AB42" s="11"/>
      <c r="AC42" s="12"/>
      <c r="AD42" s="41" t="str">
        <f t="shared" si="4"/>
        <v/>
      </c>
      <c r="AE42" s="11"/>
      <c r="AF42" s="11"/>
      <c r="AG42" s="11"/>
      <c r="AH42" s="11"/>
      <c r="AI42" s="11"/>
      <c r="AJ42" s="11"/>
      <c r="AK42" s="11"/>
      <c r="AL42" s="11"/>
      <c r="AM42" s="12"/>
      <c r="AN42" s="61"/>
    </row>
    <row r="43" ht="15.75" customHeight="1">
      <c r="A43" s="62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</row>
    <row r="44" ht="15.75" customHeight="1">
      <c r="A44" s="62"/>
      <c r="B44" s="78" t="s">
        <v>62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2"/>
      <c r="AN44" s="61"/>
    </row>
    <row r="45" ht="15.75" customHeight="1">
      <c r="A45" s="62"/>
      <c r="B45" s="47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2"/>
      <c r="AN45" s="61"/>
    </row>
    <row r="46" ht="15.75" customHeight="1">
      <c r="A46" s="62"/>
      <c r="B46" s="47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2"/>
      <c r="AN46" s="61"/>
    </row>
    <row r="47" ht="15.75" customHeight="1">
      <c r="A47" s="62"/>
      <c r="B47" s="47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2"/>
      <c r="AN47" s="61"/>
    </row>
    <row r="48" ht="15.75" customHeight="1">
      <c r="A48" s="62"/>
      <c r="B48" s="47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2"/>
      <c r="AN48" s="61"/>
    </row>
    <row r="49" ht="15.7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1"/>
    </row>
    <row r="50" ht="15.75" customHeight="1">
      <c r="A50" s="62"/>
      <c r="B50" s="62"/>
      <c r="M50" s="61"/>
      <c r="N50" s="61"/>
      <c r="O50" s="61"/>
      <c r="P50" s="61"/>
      <c r="AB50" s="61"/>
      <c r="AC50" s="61"/>
      <c r="AD50" s="62"/>
      <c r="AN50" s="61"/>
    </row>
    <row r="51" ht="15.75" customHeight="1">
      <c r="A51" s="62"/>
      <c r="B51" s="79" t="s">
        <v>63</v>
      </c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61"/>
      <c r="N51" s="61"/>
      <c r="O51" s="61"/>
      <c r="P51" s="61"/>
      <c r="Q51" s="79" t="s">
        <v>64</v>
      </c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61"/>
      <c r="AC51" s="61"/>
      <c r="AD51" s="79" t="s">
        <v>65</v>
      </c>
      <c r="AE51" s="18"/>
      <c r="AF51" s="18"/>
      <c r="AG51" s="18"/>
      <c r="AH51" s="18"/>
      <c r="AI51" s="18"/>
      <c r="AJ51" s="18"/>
      <c r="AK51" s="18"/>
      <c r="AL51" s="18"/>
      <c r="AM51" s="18"/>
      <c r="AN51" s="61"/>
    </row>
    <row r="52" ht="15.7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1"/>
    </row>
    <row r="53" ht="15.7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1"/>
    </row>
    <row r="54" ht="15.7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1"/>
    </row>
    <row r="55" ht="15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1"/>
    </row>
    <row r="56" ht="15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1"/>
    </row>
    <row r="57" ht="15.75" customHeight="1">
      <c r="A57" s="61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1"/>
    </row>
    <row r="58" ht="15.75" customHeight="1">
      <c r="A58" s="61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1"/>
    </row>
    <row r="59" ht="15.75" customHeight="1">
      <c r="A59" s="61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1"/>
    </row>
    <row r="60" ht="15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1"/>
    </row>
    <row r="61" ht="15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1"/>
    </row>
    <row r="62" ht="15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1"/>
    </row>
    <row r="63" ht="15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1"/>
    </row>
    <row r="64" ht="15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1"/>
    </row>
    <row r="65" ht="15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1"/>
    </row>
    <row r="66" ht="15.75" customHeight="1">
      <c r="A66" s="61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1"/>
    </row>
    <row r="67" ht="15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1"/>
    </row>
    <row r="68" ht="15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</row>
    <row r="69" ht="15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1"/>
    </row>
    <row r="70" ht="15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1"/>
    </row>
    <row r="71" ht="15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1"/>
    </row>
    <row r="72" ht="15.75" customHeight="1">
      <c r="A72" s="62"/>
      <c r="B72" s="62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</row>
    <row r="73" ht="15.75" customHeight="1">
      <c r="A73" s="62"/>
      <c r="B73" s="62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</row>
    <row r="74" ht="15.75" customHeight="1">
      <c r="A74" s="62"/>
      <c r="B74" s="62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</row>
    <row r="75" ht="15.75" customHeight="1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</row>
    <row r="76" ht="15.75" customHeight="1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</row>
    <row r="77" ht="15.75" customHeight="1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</row>
    <row r="78" ht="15.75" customHeight="1">
      <c r="A78" s="62"/>
      <c r="B78" s="62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</row>
    <row r="79" ht="15.75" customHeight="1">
      <c r="A79" s="62"/>
      <c r="B79" s="62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</row>
    <row r="80" ht="15.75" customHeight="1">
      <c r="A80" s="62"/>
      <c r="B80" s="62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</row>
    <row r="81" ht="15.75" customHeight="1">
      <c r="A81" s="62"/>
      <c r="B81" s="62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</row>
    <row r="82" ht="15.75" customHeight="1">
      <c r="A82" s="62"/>
      <c r="B82" s="62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</row>
    <row r="83" ht="15.75" customHeight="1">
      <c r="A83" s="62"/>
      <c r="B83" s="62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</row>
    <row r="84" ht="15.75" customHeight="1">
      <c r="A84" s="62"/>
      <c r="B84" s="62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</row>
    <row r="85" ht="15.75" customHeight="1">
      <c r="A85" s="62"/>
      <c r="B85" s="62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</row>
    <row r="86" ht="15.75" customHeight="1">
      <c r="A86" s="62"/>
      <c r="B86" s="62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</row>
    <row r="87" ht="15.75" customHeight="1">
      <c r="A87" s="62"/>
      <c r="B87" s="62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</row>
    <row r="88" ht="15.75" customHeight="1">
      <c r="A88" s="62"/>
      <c r="B88" s="62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</row>
    <row r="89" ht="15.75" customHeight="1">
      <c r="A89" s="62"/>
      <c r="B89" s="62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</row>
    <row r="90" ht="15.75" customHeight="1">
      <c r="A90" s="62"/>
      <c r="B90" s="62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</row>
    <row r="91" ht="15.75" customHeight="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</row>
    <row r="92" ht="15.75" customHeight="1">
      <c r="A92" s="62"/>
      <c r="B92" s="62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  <c r="AL92" s="61"/>
      <c r="AM92" s="61"/>
      <c r="AN92" s="61"/>
    </row>
    <row r="93" ht="15.75" customHeight="1">
      <c r="A93" s="62"/>
      <c r="B93" s="62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</row>
    <row r="94" ht="15.75" customHeight="1">
      <c r="A94" s="62"/>
      <c r="B94" s="62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1"/>
    </row>
    <row r="95" ht="15.75" customHeight="1">
      <c r="A95" s="62"/>
      <c r="B95" s="62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</row>
    <row r="96" ht="15.75" customHeight="1">
      <c r="A96" s="62"/>
      <c r="B96" s="62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  <c r="AL96" s="61"/>
      <c r="AM96" s="61"/>
      <c r="AN96" s="61"/>
    </row>
    <row r="97" ht="15.75" customHeight="1">
      <c r="A97" s="62"/>
      <c r="B97" s="62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</row>
    <row r="98" ht="15.75" customHeight="1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</row>
    <row r="99" ht="15.75" customHeight="1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  <c r="AL99" s="61"/>
      <c r="AM99" s="61"/>
      <c r="AN99" s="61"/>
    </row>
    <row r="100" ht="15.75" customHeight="1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  <c r="AL100" s="61"/>
      <c r="AM100" s="61"/>
      <c r="AN100" s="61"/>
    </row>
    <row r="101" ht="15.75" customHeight="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  <c r="AL101" s="61"/>
      <c r="AM101" s="61"/>
      <c r="AN101" s="61"/>
    </row>
    <row r="102" ht="15.75" customHeight="1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  <c r="AL102" s="61"/>
      <c r="AM102" s="61"/>
      <c r="AN102" s="61"/>
    </row>
    <row r="103" ht="15.75" customHeight="1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</row>
    <row r="104" ht="15.75" customHeight="1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  <c r="AN104" s="61"/>
    </row>
    <row r="105" ht="15.75" customHeight="1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</row>
    <row r="106" ht="15.75" customHeight="1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</row>
    <row r="107" ht="15.75" customHeight="1">
      <c r="A107" s="62"/>
      <c r="B107" s="62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  <c r="AN107" s="61"/>
    </row>
    <row r="108" ht="15.75" customHeight="1">
      <c r="A108" s="62"/>
      <c r="B108" s="62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  <c r="AN108" s="61"/>
    </row>
    <row r="109" ht="15.75" customHeight="1">
      <c r="A109" s="62"/>
      <c r="B109" s="62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61"/>
    </row>
    <row r="110" ht="15.75" customHeight="1">
      <c r="A110" s="62"/>
      <c r="B110" s="62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61"/>
    </row>
    <row r="111" ht="15.75" customHeight="1">
      <c r="A111" s="62"/>
      <c r="B111" s="62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</row>
    <row r="112" ht="15.75" customHeight="1">
      <c r="A112" s="62"/>
      <c r="B112" s="62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61"/>
    </row>
    <row r="113" ht="15.75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</row>
    <row r="114" ht="15.75" customHeight="1">
      <c r="A114" s="61"/>
      <c r="B114" s="61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</row>
    <row r="115" ht="15.75" customHeight="1">
      <c r="A115" s="61"/>
      <c r="B115" s="61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</row>
    <row r="116" ht="15.75" customHeight="1">
      <c r="A116" s="61"/>
      <c r="B116" s="61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</row>
    <row r="117" ht="15.75" customHeight="1">
      <c r="A117" s="61"/>
      <c r="B117" s="61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</row>
    <row r="118" ht="15.75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61"/>
    </row>
    <row r="123" ht="15.75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</row>
    <row r="124" ht="15.75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  <c r="AN124" s="61"/>
    </row>
    <row r="125" ht="15.75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</row>
    <row r="126" ht="15.75" customHeight="1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  <c r="AM126" s="61"/>
      <c r="AN126" s="61"/>
    </row>
    <row r="127" ht="15.75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  <c r="AN127" s="61"/>
    </row>
    <row r="128" ht="15.75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  <c r="AN128" s="61"/>
    </row>
    <row r="129" ht="15.75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</row>
    <row r="130" ht="15.75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  <c r="AN130" s="61"/>
    </row>
    <row r="131" ht="15.75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</row>
    <row r="132" ht="15.75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</row>
    <row r="133" ht="15.75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</row>
    <row r="134" ht="15.75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</row>
    <row r="135" ht="15.75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</row>
    <row r="136" ht="15.75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</row>
    <row r="137" ht="15.75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61"/>
    </row>
    <row r="138" ht="15.75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  <c r="AN138" s="61"/>
    </row>
    <row r="139" ht="15.75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  <c r="AN139" s="61"/>
    </row>
    <row r="140" ht="15.75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  <c r="AN140" s="61"/>
    </row>
    <row r="141" ht="15.75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  <c r="AM141" s="61"/>
      <c r="AN141" s="61"/>
    </row>
    <row r="142" ht="15.75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  <c r="AN142" s="61"/>
    </row>
    <row r="143" ht="15.75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  <c r="AN143" s="61"/>
    </row>
    <row r="144" ht="15.75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  <c r="AN144" s="61"/>
    </row>
    <row r="145" ht="15.75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  <c r="AN145" s="61"/>
    </row>
    <row r="146" ht="15.75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  <c r="AN146" s="61"/>
    </row>
    <row r="147" ht="15.75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  <c r="AN147" s="61"/>
    </row>
    <row r="148" ht="15.75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  <c r="AN148" s="61"/>
    </row>
    <row r="149" ht="15.75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  <c r="AN149" s="61"/>
    </row>
    <row r="150" ht="15.75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  <c r="AN150" s="61"/>
    </row>
    <row r="151" ht="15.75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  <c r="AN151" s="61"/>
    </row>
    <row r="152" ht="15.75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  <c r="AN152" s="61"/>
    </row>
    <row r="153" ht="15.75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</row>
    <row r="154" ht="15.75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  <c r="AN154" s="61"/>
    </row>
    <row r="155" ht="15.75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</row>
    <row r="156" ht="15.75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  <c r="AM156" s="61"/>
      <c r="AN156" s="61"/>
    </row>
    <row r="157" ht="15.75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</row>
    <row r="158" ht="15.75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  <c r="AM158" s="61"/>
      <c r="AN158" s="61"/>
    </row>
    <row r="159" ht="15.75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  <c r="AN159" s="61"/>
    </row>
    <row r="160" ht="15.75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  <c r="AN160" s="61"/>
    </row>
    <row r="161" ht="15.75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  <c r="AN161" s="61"/>
    </row>
    <row r="162" ht="15.75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  <c r="AM162" s="61"/>
      <c r="AN162" s="61"/>
    </row>
    <row r="163" ht="15.75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  <c r="AN163" s="61"/>
    </row>
    <row r="164" ht="15.75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  <c r="AM164" s="61"/>
      <c r="AN164" s="61"/>
    </row>
    <row r="165" ht="15.75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</row>
    <row r="166" ht="15.75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  <c r="AM166" s="61"/>
      <c r="AN166" s="61"/>
    </row>
    <row r="167" ht="15.75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</row>
    <row r="168" ht="15.75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  <c r="AM168" s="61"/>
      <c r="AN168" s="61"/>
    </row>
    <row r="169" ht="15.75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</row>
    <row r="170" ht="15.75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61"/>
    </row>
    <row r="171" ht="15.75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</row>
    <row r="172" ht="15.75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  <c r="AN172" s="61"/>
    </row>
    <row r="173" ht="15.75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</row>
    <row r="174" ht="15.75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  <c r="AN174" s="61"/>
    </row>
    <row r="175" ht="15.75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</row>
    <row r="176" ht="15.75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  <c r="AN176" s="61"/>
    </row>
    <row r="177" ht="15.75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</row>
    <row r="178" ht="15.75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  <c r="AN178" s="61"/>
    </row>
    <row r="179" ht="15.75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</row>
    <row r="180" ht="15.75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  <c r="AN180" s="61"/>
    </row>
    <row r="181" ht="15.75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</row>
    <row r="182" ht="15.75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  <c r="AN182" s="61"/>
    </row>
    <row r="183" ht="15.75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  <c r="AN183" s="61"/>
    </row>
    <row r="184" ht="15.75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  <c r="AN184" s="61"/>
    </row>
    <row r="185" ht="15.75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  <c r="AN185" s="61"/>
    </row>
    <row r="186" ht="15.75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  <c r="AN186" s="61"/>
    </row>
    <row r="187" ht="15.75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  <c r="AN187" s="61"/>
    </row>
    <row r="188" ht="15.75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  <c r="AN188" s="61"/>
    </row>
    <row r="189" ht="15.75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  <c r="AN189" s="61"/>
    </row>
    <row r="190" ht="15.75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  <c r="AN190" s="61"/>
    </row>
    <row r="191" ht="15.75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</row>
    <row r="192" ht="15.75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  <c r="AN192" s="61"/>
    </row>
    <row r="193" ht="15.75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</row>
    <row r="194" ht="15.75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  <c r="AN194" s="61"/>
    </row>
    <row r="195" ht="15.7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</row>
    <row r="196" ht="15.75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  <c r="AN196" s="61"/>
    </row>
    <row r="197" ht="15.75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  <c r="AN197" s="61"/>
    </row>
    <row r="198" ht="15.75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  <c r="AM198" s="61"/>
      <c r="AN198" s="61"/>
    </row>
    <row r="199" ht="15.75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  <c r="AN199" s="61"/>
    </row>
    <row r="200" ht="15.75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  <c r="AN200" s="61"/>
    </row>
    <row r="201" ht="15.75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  <c r="AN201" s="61"/>
    </row>
    <row r="202" ht="15.75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  <c r="AN202" s="61"/>
    </row>
    <row r="203" ht="15.75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  <c r="AN203" s="61"/>
    </row>
    <row r="204" ht="15.75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  <c r="AN204" s="61"/>
    </row>
    <row r="205" ht="15.75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</row>
    <row r="206" ht="15.75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  <c r="AN206" s="61"/>
    </row>
    <row r="207" ht="15.75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</row>
    <row r="208" ht="15.75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  <c r="AM208" s="61"/>
      <c r="AN208" s="61"/>
    </row>
    <row r="209" ht="15.75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</row>
    <row r="210" ht="15.75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  <c r="AN210" s="61"/>
    </row>
    <row r="211" ht="15.75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</row>
    <row r="212" ht="15.75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  <c r="AN212" s="61"/>
    </row>
    <row r="213" ht="15.75" customHeight="1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  <c r="AM213" s="61"/>
      <c r="AN213" s="61"/>
    </row>
    <row r="214" ht="15.75" customHeight="1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  <c r="AL214" s="61"/>
      <c r="AM214" s="61"/>
      <c r="AN214" s="61"/>
    </row>
    <row r="215" ht="15.75" customHeight="1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  <c r="AL215" s="61"/>
      <c r="AM215" s="61"/>
      <c r="AN215" s="61"/>
    </row>
    <row r="216" ht="15.75" customHeight="1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  <c r="AL216" s="61"/>
      <c r="AM216" s="61"/>
      <c r="AN216" s="61"/>
    </row>
    <row r="217" ht="15.75" customHeight="1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  <c r="AL217" s="61"/>
      <c r="AM217" s="61"/>
      <c r="AN217" s="61"/>
    </row>
    <row r="218" ht="15.75" customHeight="1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  <c r="AL218" s="61"/>
      <c r="AM218" s="61"/>
      <c r="AN218" s="61"/>
    </row>
    <row r="219" ht="15.75" customHeight="1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  <c r="AL219" s="61"/>
      <c r="AM219" s="61"/>
      <c r="AN219" s="61"/>
    </row>
    <row r="220" ht="15.75" customHeight="1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61"/>
    </row>
    <row r="221" ht="15.75" customHeight="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61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</row>
    <row r="226" ht="15.75" customHeight="1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</row>
    <row r="227" ht="15.75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</row>
    <row r="228" ht="15.75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</row>
    <row r="229" ht="15.75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</row>
    <row r="230" ht="15.75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</row>
    <row r="235" ht="15.75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</row>
    <row r="236" ht="15.75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</row>
    <row r="237" ht="15.75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</row>
    <row r="238" ht="15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</row>
    <row r="239" ht="15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</row>
    <row r="240" ht="15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</row>
    <row r="241" ht="15.75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</row>
    <row r="242" ht="15.75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</row>
    <row r="243" ht="15.75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</row>
    <row r="244" ht="15.75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</row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17:J17"/>
    <mergeCell ref="K17:M17"/>
    <mergeCell ref="N17:S17"/>
    <mergeCell ref="V17:AK17"/>
    <mergeCell ref="AL17:AM17"/>
    <mergeCell ref="B18:J18"/>
    <mergeCell ref="K18:M18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41:K41"/>
    <mergeCell ref="L41:T41"/>
    <mergeCell ref="U41:AC41"/>
    <mergeCell ref="AD41:AM41"/>
    <mergeCell ref="B42:K42"/>
    <mergeCell ref="L42:T42"/>
    <mergeCell ref="U42:AC42"/>
    <mergeCell ref="AD42:AM42"/>
    <mergeCell ref="B44:AM44"/>
    <mergeCell ref="B45:AM45"/>
    <mergeCell ref="B46:AM46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P50:AA50"/>
    <mergeCell ref="AD50:AM50"/>
    <mergeCell ref="B51:L51"/>
    <mergeCell ref="Q51:AA51"/>
    <mergeCell ref="AD51:AM51"/>
  </mergeCells>
  <dataValidations>
    <dataValidation type="list" allowBlank="1" sqref="A40:A42">
      <formula1>catalogoAnalizadores!$A$2:$A1006</formula1>
    </dataValidation>
    <dataValidation type="list" allowBlank="1" showErrorMessage="1" sqref="AL10 T18:T19 AL17:AL24 T23:T28 AL27:AL33 T31:T36">
      <formula1>"✓,✖,N/A"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29"/>
    <col customWidth="1" min="2" max="10" width="3.0"/>
    <col customWidth="1" min="11" max="13" width="3.57"/>
    <col customWidth="1" min="14" max="17" width="3.0"/>
    <col customWidth="1" min="18" max="19" width="2.71"/>
    <col customWidth="1" min="20" max="20" width="9.57"/>
    <col customWidth="1" min="21" max="23" width="2.71"/>
    <col customWidth="1" min="24" max="24" width="4.57"/>
    <col customWidth="1" min="25" max="27" width="2.71"/>
    <col customWidth="1" min="28" max="28" width="4.57"/>
    <col customWidth="1" min="29" max="32" width="5.0"/>
    <col customWidth="1" min="33" max="33" width="6.57"/>
    <col customWidth="1" min="34" max="39" width="5.0"/>
    <col customWidth="1" min="40" max="40" width="6.14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ht="15.0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ht="15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ht="23.25" customHeight="1">
      <c r="A8" s="1"/>
      <c r="B8" s="1"/>
      <c r="C8" s="2" t="s">
        <v>154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80"/>
      <c r="AG8" s="6"/>
      <c r="AH8" s="6"/>
      <c r="AI8" s="6"/>
      <c r="AJ8" s="6"/>
      <c r="AK8" s="6"/>
      <c r="AL8" s="6"/>
      <c r="AM8" s="6"/>
      <c r="AN8" s="1"/>
    </row>
    <row r="9" ht="15.0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ht="15.0" customHeight="1">
      <c r="A10" s="1"/>
      <c r="B10" s="1" t="s">
        <v>2</v>
      </c>
      <c r="D10" s="8" t="str">
        <f> TEXT(DATE(YEAR(TODAY()), MONTH(TODAY()), 25), "dd/mmm/yyyy")</f>
        <v>25/jul/2026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 t="s">
        <v>3</v>
      </c>
      <c r="Y10" s="1" t="s">
        <v>4</v>
      </c>
      <c r="AB10" s="1"/>
      <c r="AC10" s="1"/>
      <c r="AD10" s="1"/>
      <c r="AE10" s="1"/>
      <c r="AF10" s="1"/>
      <c r="AG10" s="1"/>
      <c r="AH10" s="1"/>
      <c r="AI10" s="10" t="s">
        <v>5</v>
      </c>
      <c r="AJ10" s="11"/>
      <c r="AK10" s="12"/>
      <c r="AL10" s="81" t="s">
        <v>6</v>
      </c>
      <c r="AM10" s="12"/>
      <c r="AN10" s="1"/>
    </row>
    <row r="11" ht="15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ht="15.0" customHeight="1">
      <c r="A12" s="1"/>
      <c r="B12" s="14" t="s">
        <v>7</v>
      </c>
      <c r="C12" s="11"/>
      <c r="D12" s="11"/>
      <c r="E12" s="11"/>
      <c r="F12" s="12"/>
      <c r="G12" s="24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4" t="s">
        <v>8</v>
      </c>
      <c r="V12" s="11"/>
      <c r="W12" s="11"/>
      <c r="X12" s="11"/>
      <c r="Y12" s="11"/>
      <c r="Z12" s="12"/>
      <c r="AA12" s="24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2"/>
      <c r="AN12" s="1"/>
    </row>
    <row r="13" ht="15.0" customHeight="1">
      <c r="A13" s="1"/>
      <c r="B13" s="14" t="s">
        <v>9</v>
      </c>
      <c r="C13" s="11"/>
      <c r="D13" s="11"/>
      <c r="E13" s="11"/>
      <c r="F13" s="12"/>
      <c r="G13" s="24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4" t="s">
        <v>10</v>
      </c>
      <c r="V13" s="11"/>
      <c r="W13" s="11"/>
      <c r="X13" s="11"/>
      <c r="Y13" s="11"/>
      <c r="Z13" s="12"/>
      <c r="AA13" s="24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2"/>
      <c r="AN13" s="1"/>
    </row>
    <row r="14" ht="15.0" customHeight="1">
      <c r="A14" s="1"/>
      <c r="B14" s="14" t="s">
        <v>11</v>
      </c>
      <c r="C14" s="11"/>
      <c r="D14" s="11"/>
      <c r="E14" s="11"/>
      <c r="F14" s="12"/>
      <c r="G14" s="24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4" t="s">
        <v>12</v>
      </c>
      <c r="V14" s="11"/>
      <c r="W14" s="11"/>
      <c r="X14" s="11"/>
      <c r="Y14" s="11"/>
      <c r="Z14" s="12"/>
      <c r="AA14" s="24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2"/>
      <c r="AN14" s="1"/>
    </row>
    <row r="15" ht="15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ht="15.0" customHeight="1">
      <c r="A16" s="1"/>
      <c r="B16" s="1"/>
      <c r="C16" s="1"/>
      <c r="D16" s="10" t="s">
        <v>155</v>
      </c>
      <c r="E16" s="11"/>
      <c r="F16" s="11"/>
      <c r="G16" s="11"/>
      <c r="H16" s="11"/>
      <c r="I16" s="11"/>
      <c r="J16" s="11"/>
      <c r="K16" s="12"/>
      <c r="L16" s="81" t="s">
        <v>6</v>
      </c>
      <c r="M16" s="11"/>
      <c r="N16" s="12"/>
      <c r="O16" s="1"/>
      <c r="P16" s="10" t="s">
        <v>156</v>
      </c>
      <c r="Q16" s="11"/>
      <c r="R16" s="11"/>
      <c r="S16" s="11"/>
      <c r="T16" s="11"/>
      <c r="U16" s="12"/>
      <c r="V16" s="81" t="s">
        <v>157</v>
      </c>
      <c r="W16" s="11"/>
      <c r="X16" s="12"/>
      <c r="Y16" s="1"/>
      <c r="Z16" s="10" t="s">
        <v>158</v>
      </c>
      <c r="AA16" s="11"/>
      <c r="AB16" s="11"/>
      <c r="AC16" s="11"/>
      <c r="AD16" s="11"/>
      <c r="AE16" s="12"/>
      <c r="AF16" s="81" t="s">
        <v>159</v>
      </c>
      <c r="AG16" s="12"/>
      <c r="AH16" s="1"/>
      <c r="AI16" s="1"/>
      <c r="AJ16" s="1"/>
      <c r="AK16" s="1"/>
      <c r="AL16" s="1"/>
      <c r="AM16" s="1"/>
      <c r="AN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ht="15.0" customHeight="1">
      <c r="A18" s="1"/>
      <c r="B18" s="82" t="s">
        <v>160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9"/>
      <c r="AK18" s="83" t="s">
        <v>6</v>
      </c>
      <c r="AL18" s="18"/>
      <c r="AM18" s="19"/>
      <c r="AN18" s="1"/>
    </row>
    <row r="19" ht="15.0" customHeight="1">
      <c r="A19" s="1"/>
      <c r="B19" s="27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28"/>
      <c r="AK19" s="27"/>
      <c r="AL19" s="6"/>
      <c r="AM19" s="28"/>
      <c r="AN19" s="1"/>
    </row>
    <row r="20" ht="15.0" customHeight="1">
      <c r="A20" s="1"/>
      <c r="B20" s="84" t="s">
        <v>161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9"/>
      <c r="AN20" s="1"/>
    </row>
    <row r="21" ht="15.0" customHeight="1">
      <c r="A21" s="1"/>
      <c r="B21" s="2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28"/>
      <c r="AN21" s="1"/>
    </row>
    <row r="22" ht="15.0" customHeight="1">
      <c r="A22" s="1"/>
      <c r="B22" s="82" t="s">
        <v>162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9"/>
      <c r="AK22" s="83" t="s">
        <v>6</v>
      </c>
      <c r="AL22" s="18"/>
      <c r="AM22" s="19"/>
      <c r="AN22" s="1"/>
    </row>
    <row r="23" ht="15.0" customHeight="1">
      <c r="A23" s="1"/>
      <c r="B23" s="2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28"/>
      <c r="AK23" s="27"/>
      <c r="AL23" s="6"/>
      <c r="AM23" s="28"/>
      <c r="AN23" s="1"/>
    </row>
    <row r="24" ht="15.0" customHeight="1">
      <c r="A24" s="1"/>
      <c r="B24" s="82" t="s">
        <v>163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9"/>
      <c r="AK24" s="83" t="s">
        <v>6</v>
      </c>
      <c r="AL24" s="18"/>
      <c r="AM24" s="19"/>
      <c r="AN24" s="1"/>
    </row>
    <row r="25" ht="15.0" customHeight="1">
      <c r="A25" s="1"/>
      <c r="B25" s="27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28"/>
      <c r="AK25" s="27"/>
      <c r="AL25" s="6"/>
      <c r="AM25" s="28"/>
      <c r="AN25" s="1"/>
    </row>
    <row r="26" ht="14.25" customHeight="1">
      <c r="A26" s="1"/>
      <c r="B26" s="82" t="s">
        <v>164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9"/>
      <c r="AK26" s="83" t="s">
        <v>6</v>
      </c>
      <c r="AL26" s="18"/>
      <c r="AM26" s="19"/>
      <c r="AN26" s="1"/>
    </row>
    <row r="27" ht="14.25" customHeight="1">
      <c r="A27" s="1"/>
      <c r="B27" s="27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28"/>
      <c r="AK27" s="27"/>
      <c r="AL27" s="6"/>
      <c r="AM27" s="28"/>
      <c r="AN27" s="1"/>
    </row>
    <row r="28" ht="14.25" customHeight="1">
      <c r="A28" s="1"/>
      <c r="B28" s="84" t="s">
        <v>165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9"/>
      <c r="AN28" s="1"/>
    </row>
    <row r="29" ht="14.25" customHeight="1">
      <c r="A29" s="1"/>
      <c r="B29" s="27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28"/>
      <c r="AN29" s="1"/>
    </row>
    <row r="30" ht="14.25" customHeight="1">
      <c r="A30" s="1"/>
      <c r="B30" s="82" t="s">
        <v>166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9"/>
      <c r="AK30" s="83" t="s">
        <v>6</v>
      </c>
      <c r="AL30" s="18"/>
      <c r="AM30" s="19"/>
      <c r="AN30" s="1"/>
    </row>
    <row r="31" ht="14.25" customHeight="1">
      <c r="A31" s="1"/>
      <c r="B31" s="27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28"/>
      <c r="AK31" s="27"/>
      <c r="AL31" s="6"/>
      <c r="AM31" s="28"/>
      <c r="AN31" s="1"/>
    </row>
    <row r="32" ht="14.25" customHeight="1">
      <c r="A32" s="1"/>
      <c r="B32" s="82" t="s">
        <v>167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9"/>
      <c r="AK32" s="83" t="s">
        <v>6</v>
      </c>
      <c r="AL32" s="18"/>
      <c r="AM32" s="19"/>
      <c r="AN32" s="1"/>
    </row>
    <row r="33" ht="14.25" customHeight="1">
      <c r="A33" s="1"/>
      <c r="B33" s="2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28"/>
      <c r="AK33" s="27"/>
      <c r="AL33" s="6"/>
      <c r="AM33" s="28"/>
      <c r="AN33" s="1"/>
    </row>
    <row r="34" ht="14.25" customHeight="1">
      <c r="A34" s="1"/>
      <c r="B34" s="84" t="s">
        <v>168</v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9"/>
      <c r="AK34" s="83" t="s">
        <v>6</v>
      </c>
      <c r="AL34" s="18"/>
      <c r="AM34" s="19"/>
      <c r="AN34" s="1"/>
    </row>
    <row r="35" ht="14.25" customHeight="1">
      <c r="A35" s="1"/>
      <c r="B35" s="27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28"/>
      <c r="AK35" s="27"/>
      <c r="AL35" s="6"/>
      <c r="AM35" s="28"/>
      <c r="AN35" s="1"/>
    </row>
    <row r="36" ht="14.25" customHeight="1">
      <c r="A36" s="1"/>
      <c r="B36" s="84" t="s">
        <v>169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9"/>
      <c r="AK36" s="83" t="s">
        <v>6</v>
      </c>
      <c r="AL36" s="18"/>
      <c r="AM36" s="19"/>
      <c r="AN36" s="1"/>
    </row>
    <row r="37" ht="14.25" customHeight="1">
      <c r="A37" s="1"/>
      <c r="B37" s="27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28"/>
      <c r="AK37" s="27"/>
      <c r="AL37" s="6"/>
      <c r="AM37" s="28"/>
      <c r="AN37" s="1"/>
    </row>
    <row r="38" ht="14.25" customHeight="1">
      <c r="A38" s="1"/>
      <c r="B38" s="84" t="s">
        <v>170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9"/>
      <c r="AK38" s="83" t="s">
        <v>6</v>
      </c>
      <c r="AL38" s="18"/>
      <c r="AM38" s="19"/>
      <c r="AN38" s="1"/>
    </row>
    <row r="39" ht="14.25" customHeight="1">
      <c r="A39" s="1"/>
      <c r="B39" s="27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28"/>
      <c r="AK39" s="27"/>
      <c r="AL39" s="6"/>
      <c r="AM39" s="28"/>
      <c r="AN39" s="1"/>
    </row>
    <row r="40" ht="14.25" customHeight="1">
      <c r="A40" s="1"/>
      <c r="B40" s="84" t="s">
        <v>171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9"/>
      <c r="AK40" s="83" t="s">
        <v>6</v>
      </c>
      <c r="AL40" s="18"/>
      <c r="AM40" s="19"/>
      <c r="AN40" s="1"/>
    </row>
    <row r="41" ht="15.75" customHeight="1">
      <c r="A41" s="1"/>
      <c r="B41" s="27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28"/>
      <c r="AK41" s="27"/>
      <c r="AL41" s="6"/>
      <c r="AM41" s="28"/>
      <c r="AN41" s="1"/>
    </row>
    <row r="42" ht="15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ht="15.75" customHeight="1">
      <c r="A43" s="7"/>
      <c r="B43" s="39" t="s">
        <v>58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2"/>
      <c r="AN43" s="1"/>
    </row>
    <row r="44" ht="15.75" customHeight="1">
      <c r="A44" s="7"/>
      <c r="B44" s="20" t="s">
        <v>59</v>
      </c>
      <c r="C44" s="11"/>
      <c r="D44" s="11"/>
      <c r="E44" s="11"/>
      <c r="F44" s="11"/>
      <c r="G44" s="11"/>
      <c r="H44" s="11"/>
      <c r="I44" s="11"/>
      <c r="J44" s="11"/>
      <c r="K44" s="12"/>
      <c r="L44" s="20" t="s">
        <v>8</v>
      </c>
      <c r="M44" s="11"/>
      <c r="N44" s="11"/>
      <c r="O44" s="11"/>
      <c r="P44" s="11"/>
      <c r="Q44" s="11"/>
      <c r="R44" s="11"/>
      <c r="S44" s="11"/>
      <c r="T44" s="12"/>
      <c r="U44" s="20" t="s">
        <v>10</v>
      </c>
      <c r="V44" s="11"/>
      <c r="W44" s="11"/>
      <c r="X44" s="11"/>
      <c r="Y44" s="11"/>
      <c r="Z44" s="11"/>
      <c r="AA44" s="11"/>
      <c r="AB44" s="11"/>
      <c r="AC44" s="12"/>
      <c r="AD44" s="20" t="s">
        <v>60</v>
      </c>
      <c r="AE44" s="11"/>
      <c r="AF44" s="11"/>
      <c r="AG44" s="11"/>
      <c r="AH44" s="11"/>
      <c r="AI44" s="11"/>
      <c r="AJ44" s="11"/>
      <c r="AK44" s="11"/>
      <c r="AL44" s="11"/>
      <c r="AM44" s="12"/>
      <c r="AN44" s="1"/>
    </row>
    <row r="45" ht="15.75" customHeight="1">
      <c r="A45" s="7" t="s">
        <v>61</v>
      </c>
      <c r="B45" s="41" t="str">
        <f t="shared" ref="B45:B47" si="1">IFERROR(VLOOKUP(A45,catalogoAnalizadores!A:E,2,FALSE),"")</f>
        <v/>
      </c>
      <c r="C45" s="11"/>
      <c r="D45" s="11"/>
      <c r="E45" s="11"/>
      <c r="F45" s="11"/>
      <c r="G45" s="11"/>
      <c r="H45" s="11"/>
      <c r="I45" s="11"/>
      <c r="J45" s="11"/>
      <c r="K45" s="12"/>
      <c r="L45" s="41" t="str">
        <f t="shared" ref="L45:L47" si="2">IFERROR(VLOOKUP(A45,catalogoAnalizadores!A:E,3,FALSE),"")</f>
        <v/>
      </c>
      <c r="M45" s="11"/>
      <c r="N45" s="11"/>
      <c r="O45" s="11"/>
      <c r="P45" s="11"/>
      <c r="Q45" s="11"/>
      <c r="R45" s="11"/>
      <c r="S45" s="11"/>
      <c r="T45" s="12"/>
      <c r="U45" s="41" t="str">
        <f t="shared" ref="U45:U47" si="3">IFERROR(VLOOKUP(A45,catalogoAnalizadores!A:E,4,FALSE),"")</f>
        <v/>
      </c>
      <c r="V45" s="11"/>
      <c r="W45" s="11"/>
      <c r="X45" s="11"/>
      <c r="Y45" s="11"/>
      <c r="Z45" s="11"/>
      <c r="AA45" s="11"/>
      <c r="AB45" s="11"/>
      <c r="AC45" s="12"/>
      <c r="AD45" s="41" t="str">
        <f t="shared" ref="AD45:AD47" si="4">IFERROR(VLOOKUP(A45,catalogoAnalizadores!A:E,5,FALSE),"")</f>
        <v/>
      </c>
      <c r="AE45" s="11"/>
      <c r="AF45" s="11"/>
      <c r="AG45" s="11"/>
      <c r="AH45" s="11"/>
      <c r="AI45" s="11"/>
      <c r="AJ45" s="11"/>
      <c r="AK45" s="11"/>
      <c r="AL45" s="11"/>
      <c r="AM45" s="12"/>
      <c r="AN45" s="1"/>
    </row>
    <row r="46" ht="15.75" customHeight="1">
      <c r="A46" s="7" t="s">
        <v>61</v>
      </c>
      <c r="B46" s="41" t="str">
        <f t="shared" si="1"/>
        <v/>
      </c>
      <c r="C46" s="11"/>
      <c r="D46" s="11"/>
      <c r="E46" s="11"/>
      <c r="F46" s="11"/>
      <c r="G46" s="11"/>
      <c r="H46" s="11"/>
      <c r="I46" s="11"/>
      <c r="J46" s="11"/>
      <c r="K46" s="12"/>
      <c r="L46" s="41" t="str">
        <f t="shared" si="2"/>
        <v/>
      </c>
      <c r="M46" s="11"/>
      <c r="N46" s="11"/>
      <c r="O46" s="11"/>
      <c r="P46" s="11"/>
      <c r="Q46" s="11"/>
      <c r="R46" s="11"/>
      <c r="S46" s="11"/>
      <c r="T46" s="12"/>
      <c r="U46" s="41" t="str">
        <f t="shared" si="3"/>
        <v/>
      </c>
      <c r="V46" s="11"/>
      <c r="W46" s="11"/>
      <c r="X46" s="11"/>
      <c r="Y46" s="11"/>
      <c r="Z46" s="11"/>
      <c r="AA46" s="11"/>
      <c r="AB46" s="11"/>
      <c r="AC46" s="12"/>
      <c r="AD46" s="41" t="str">
        <f t="shared" si="4"/>
        <v/>
      </c>
      <c r="AE46" s="11"/>
      <c r="AF46" s="11"/>
      <c r="AG46" s="11"/>
      <c r="AH46" s="11"/>
      <c r="AI46" s="11"/>
      <c r="AJ46" s="11"/>
      <c r="AK46" s="11"/>
      <c r="AL46" s="11"/>
      <c r="AM46" s="12"/>
      <c r="AN46" s="1"/>
    </row>
    <row r="47" ht="15.75" customHeight="1">
      <c r="A47" s="7" t="s">
        <v>61</v>
      </c>
      <c r="B47" s="41" t="str">
        <f t="shared" si="1"/>
        <v/>
      </c>
      <c r="C47" s="11"/>
      <c r="D47" s="11"/>
      <c r="E47" s="11"/>
      <c r="F47" s="11"/>
      <c r="G47" s="11"/>
      <c r="H47" s="11"/>
      <c r="I47" s="11"/>
      <c r="J47" s="11"/>
      <c r="K47" s="12"/>
      <c r="L47" s="41" t="str">
        <f t="shared" si="2"/>
        <v/>
      </c>
      <c r="M47" s="11"/>
      <c r="N47" s="11"/>
      <c r="O47" s="11"/>
      <c r="P47" s="11"/>
      <c r="Q47" s="11"/>
      <c r="R47" s="11"/>
      <c r="S47" s="11"/>
      <c r="T47" s="12"/>
      <c r="U47" s="41" t="str">
        <f t="shared" si="3"/>
        <v/>
      </c>
      <c r="V47" s="11"/>
      <c r="W47" s="11"/>
      <c r="X47" s="11"/>
      <c r="Y47" s="11"/>
      <c r="Z47" s="11"/>
      <c r="AA47" s="11"/>
      <c r="AB47" s="11"/>
      <c r="AC47" s="12"/>
      <c r="AD47" s="41" t="str">
        <f t="shared" si="4"/>
        <v/>
      </c>
      <c r="AE47" s="11"/>
      <c r="AF47" s="11"/>
      <c r="AG47" s="11"/>
      <c r="AH47" s="11"/>
      <c r="AI47" s="11"/>
      <c r="AJ47" s="11"/>
      <c r="AK47" s="11"/>
      <c r="AL47" s="11"/>
      <c r="AM47" s="12"/>
      <c r="AN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ht="15.75" customHeight="1">
      <c r="A49" s="1"/>
      <c r="B49" s="39" t="s">
        <v>62</v>
      </c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2"/>
      <c r="AN49" s="1"/>
    </row>
    <row r="50" ht="15.75" customHeight="1">
      <c r="A50" s="1"/>
      <c r="B50" s="24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2"/>
      <c r="AN50" s="1"/>
    </row>
    <row r="51" ht="15.75" customHeight="1">
      <c r="A51" s="1"/>
      <c r="B51" s="24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2"/>
      <c r="AN51" s="1"/>
    </row>
    <row r="52" ht="15.75" customHeight="1">
      <c r="A52" s="1"/>
      <c r="B52" s="24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2"/>
      <c r="AN52" s="1"/>
    </row>
    <row r="53" ht="15.75" customHeight="1">
      <c r="A53" s="1"/>
      <c r="B53" s="24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2"/>
      <c r="AN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ht="15.75" customHeight="1">
      <c r="A55" s="1"/>
      <c r="B55" s="7" t="s">
        <v>172</v>
      </c>
      <c r="M55" s="1"/>
      <c r="N55" s="1"/>
      <c r="O55" s="1"/>
      <c r="P55" s="7" t="s">
        <v>173</v>
      </c>
      <c r="AB55" s="1"/>
      <c r="AC55" s="1"/>
      <c r="AD55" s="7"/>
      <c r="AN55" s="1"/>
    </row>
    <row r="56" ht="15.75" customHeight="1">
      <c r="A56" s="1"/>
      <c r="B56" s="42" t="s">
        <v>63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"/>
      <c r="N56" s="1"/>
      <c r="O56" s="1"/>
      <c r="P56" s="7"/>
      <c r="Q56" s="42" t="s">
        <v>64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"/>
      <c r="AC56" s="1"/>
      <c r="AD56" s="42" t="s">
        <v>65</v>
      </c>
      <c r="AE56" s="18"/>
      <c r="AF56" s="18"/>
      <c r="AG56" s="18"/>
      <c r="AH56" s="18"/>
      <c r="AI56" s="18"/>
      <c r="AJ56" s="18"/>
      <c r="AK56" s="18"/>
      <c r="AL56" s="18"/>
      <c r="AM56" s="18"/>
      <c r="AN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4:AJ35"/>
    <mergeCell ref="AK34:AM35"/>
    <mergeCell ref="B36:AJ37"/>
    <mergeCell ref="AK36:AM37"/>
    <mergeCell ref="B38:AJ39"/>
    <mergeCell ref="AK38:AM39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8:AJ19"/>
    <mergeCell ref="AK18:AM19"/>
    <mergeCell ref="B20:AM21"/>
    <mergeCell ref="B22:AJ23"/>
    <mergeCell ref="AK22:AM23"/>
    <mergeCell ref="B24:AJ25"/>
    <mergeCell ref="AK24:AM25"/>
    <mergeCell ref="B26:AJ27"/>
    <mergeCell ref="AK26:AM27"/>
    <mergeCell ref="B28:AM29"/>
    <mergeCell ref="B30:AJ31"/>
    <mergeCell ref="AK30:AM31"/>
    <mergeCell ref="B32:AJ33"/>
    <mergeCell ref="AK32:AM33"/>
  </mergeCells>
  <dataValidations>
    <dataValidation type="list" allowBlank="1" sqref="A45:A47">
      <formula1>catalogoAnalizadores!$A$2:$A1011</formula1>
    </dataValidation>
    <dataValidation type="list" allowBlank="1" showErrorMessage="1" sqref="AL10 L16 V16 AF16 AK18 AK22 AK24 AK26 AK30 AK32 AK34 AK36 AK38 AK40">
      <formula1>"✓,✖,N/A"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.86"/>
    <col customWidth="1" min="3" max="3" width="4.57"/>
    <col customWidth="1" min="4" max="5" width="1.86"/>
    <col customWidth="1" min="6" max="6" width="7.14"/>
    <col customWidth="1" min="7" max="10" width="1.86"/>
    <col customWidth="1" min="11" max="13" width="2.71"/>
    <col customWidth="1" min="14" max="17" width="3.14"/>
    <col customWidth="1" min="18" max="18" width="7.86"/>
    <col customWidth="1" min="19" max="19" width="3.14"/>
    <col customWidth="1" min="20" max="20" width="9.57"/>
    <col customWidth="1" min="21" max="27" width="2.71"/>
    <col customWidth="1" min="28" max="28" width="4.57"/>
    <col customWidth="1" min="29" max="31" width="5.0"/>
    <col customWidth="1" min="32" max="32" width="3.29"/>
    <col customWidth="1" min="33" max="35" width="5.0"/>
    <col customWidth="1" min="36" max="36" width="3.57"/>
    <col customWidth="1" min="37" max="37" width="8.71"/>
    <col customWidth="1" min="38" max="38" width="5.0"/>
    <col customWidth="1" min="39" max="39" width="9.57"/>
    <col customWidth="1" min="40" max="40" width="5.43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ht="15.0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ht="15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ht="17.25" customHeight="1">
      <c r="A8" s="1"/>
      <c r="B8" s="2" t="s">
        <v>174</v>
      </c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"/>
      <c r="AG8" s="6"/>
      <c r="AH8" s="6"/>
      <c r="AI8" s="6"/>
      <c r="AJ8" s="6"/>
      <c r="AK8" s="6"/>
      <c r="AL8" s="6"/>
      <c r="AM8" s="6"/>
    </row>
    <row r="9" ht="15.0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7"/>
      <c r="AE9" s="1"/>
      <c r="AF9" s="1"/>
      <c r="AG9" s="1"/>
      <c r="AH9" s="1"/>
      <c r="AI9" s="1"/>
      <c r="AJ9" s="1"/>
      <c r="AK9" s="1"/>
      <c r="AL9" s="1"/>
      <c r="AM9" s="1"/>
    </row>
    <row r="10" ht="18.75" customHeight="1">
      <c r="A10" s="1"/>
      <c r="B10" s="7" t="s">
        <v>2</v>
      </c>
      <c r="D10" s="8" t="str">
        <f> TEXT(DATE(YEAR(TODAY()), MONTH(TODAY()), 25), "dd/mmm/yyyy")</f>
        <v>25/jul/2026</v>
      </c>
      <c r="I10" s="1"/>
      <c r="J10" s="1"/>
      <c r="K10" s="1"/>
      <c r="L10" s="1"/>
      <c r="M10" s="1"/>
      <c r="N10" s="1"/>
      <c r="O10" s="9"/>
      <c r="S10" s="4" t="s">
        <v>3</v>
      </c>
      <c r="Y10" s="1"/>
      <c r="AB10" s="1"/>
      <c r="AC10" s="1"/>
      <c r="AD10" s="1"/>
      <c r="AE10" s="1"/>
      <c r="AF10" s="1"/>
      <c r="AG10" s="1"/>
      <c r="AI10" s="10" t="s">
        <v>5</v>
      </c>
      <c r="AJ10" s="11"/>
      <c r="AK10" s="12"/>
      <c r="AL10" s="13" t="s">
        <v>6</v>
      </c>
      <c r="AM10" s="12"/>
      <c r="AN10" s="1"/>
    </row>
    <row r="11" ht="15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ht="15.0" customHeight="1">
      <c r="A12" s="1"/>
      <c r="B12" s="14" t="s">
        <v>7</v>
      </c>
      <c r="C12" s="11"/>
      <c r="D12" s="11"/>
      <c r="E12" s="11"/>
      <c r="F12" s="12"/>
      <c r="G12" s="15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4" t="s">
        <v>8</v>
      </c>
      <c r="V12" s="11"/>
      <c r="W12" s="11"/>
      <c r="X12" s="11"/>
      <c r="Y12" s="11"/>
      <c r="Z12" s="12"/>
      <c r="AA12" s="15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2"/>
      <c r="AN12" s="1"/>
    </row>
    <row r="13" ht="15.0" customHeight="1">
      <c r="B13" s="14" t="s">
        <v>9</v>
      </c>
      <c r="C13" s="11"/>
      <c r="D13" s="11"/>
      <c r="E13" s="11"/>
      <c r="F13" s="12"/>
      <c r="G13" s="15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4" t="s">
        <v>10</v>
      </c>
      <c r="V13" s="11"/>
      <c r="W13" s="11"/>
      <c r="X13" s="11"/>
      <c r="Y13" s="11"/>
      <c r="Z13" s="12"/>
      <c r="AA13" s="15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2"/>
      <c r="AN13" s="1"/>
    </row>
    <row r="14" ht="15.0" customHeight="1">
      <c r="A14" s="1"/>
      <c r="B14" s="14" t="s">
        <v>11</v>
      </c>
      <c r="C14" s="11"/>
      <c r="D14" s="11"/>
      <c r="E14" s="11"/>
      <c r="F14" s="12"/>
      <c r="G14" s="15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4" t="s">
        <v>12</v>
      </c>
      <c r="V14" s="11"/>
      <c r="W14" s="11"/>
      <c r="X14" s="11"/>
      <c r="Y14" s="11"/>
      <c r="Z14" s="12"/>
      <c r="AA14" s="15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2"/>
      <c r="AN14" s="1"/>
    </row>
    <row r="15" ht="15.0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ht="15.0" customHeight="1">
      <c r="B16" s="1" t="s">
        <v>155</v>
      </c>
      <c r="M16" s="13" t="s">
        <v>6</v>
      </c>
      <c r="N16" s="11"/>
      <c r="O16" s="12"/>
      <c r="P16" s="1"/>
      <c r="Q16" s="1"/>
      <c r="R16" s="1" t="s">
        <v>156</v>
      </c>
      <c r="X16" s="13" t="s">
        <v>157</v>
      </c>
      <c r="Y16" s="11"/>
      <c r="Z16" s="11"/>
      <c r="AA16" s="12"/>
      <c r="AB16" s="1"/>
      <c r="AC16" s="1"/>
      <c r="AD16" s="1" t="s">
        <v>158</v>
      </c>
      <c r="AK16" s="13" t="s">
        <v>159</v>
      </c>
      <c r="AL16" s="12"/>
      <c r="AM16" s="1"/>
      <c r="AN16" s="1"/>
    </row>
    <row r="17" ht="15.0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ht="15.0" customHeight="1">
      <c r="B18" s="55" t="s">
        <v>175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2"/>
      <c r="U18" s="1"/>
      <c r="V18" s="85" t="s">
        <v>176</v>
      </c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"/>
    </row>
    <row r="19" ht="15.0" customHeight="1">
      <c r="B19" s="24" t="s">
        <v>68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2"/>
      <c r="T19" s="26" t="s">
        <v>6</v>
      </c>
      <c r="U19" s="1"/>
      <c r="V19" s="27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28"/>
      <c r="AN19" s="1"/>
    </row>
    <row r="20" ht="15.0" customHeight="1">
      <c r="A20" s="1"/>
      <c r="B20" s="24" t="s">
        <v>177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2"/>
      <c r="T20" s="26" t="s">
        <v>6</v>
      </c>
      <c r="U20" s="1"/>
      <c r="V20" s="44" t="s">
        <v>15</v>
      </c>
      <c r="W20" s="11"/>
      <c r="X20" s="11"/>
      <c r="Y20" s="11"/>
      <c r="Z20" s="11"/>
      <c r="AA20" s="11"/>
      <c r="AB20" s="11"/>
      <c r="AC20" s="11"/>
      <c r="AD20" s="12"/>
      <c r="AE20" s="44" t="s">
        <v>16</v>
      </c>
      <c r="AF20" s="11"/>
      <c r="AG20" s="12"/>
      <c r="AH20" s="45" t="s">
        <v>17</v>
      </c>
      <c r="AI20" s="18"/>
      <c r="AJ20" s="18"/>
      <c r="AK20" s="18"/>
      <c r="AL20" s="19"/>
      <c r="AM20" s="46"/>
      <c r="AN20" s="1"/>
    </row>
    <row r="21" ht="15.0" customHeight="1">
      <c r="B21" s="24" t="s">
        <v>82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2"/>
      <c r="T21" s="26" t="s">
        <v>6</v>
      </c>
      <c r="U21" s="1"/>
      <c r="V21" s="47" t="s">
        <v>178</v>
      </c>
      <c r="W21" s="11"/>
      <c r="X21" s="11"/>
      <c r="Y21" s="11"/>
      <c r="Z21" s="11"/>
      <c r="AA21" s="11"/>
      <c r="AB21" s="11"/>
      <c r="AC21" s="11"/>
      <c r="AD21" s="12"/>
      <c r="AE21" s="48" t="s">
        <v>179</v>
      </c>
      <c r="AF21" s="11"/>
      <c r="AG21" s="12"/>
      <c r="AH21" s="49"/>
      <c r="AI21" s="18"/>
      <c r="AJ21" s="18"/>
      <c r="AK21" s="18"/>
      <c r="AL21" s="50" t="s">
        <v>21</v>
      </c>
      <c r="AM21" s="51" t="s">
        <v>6</v>
      </c>
      <c r="AN21" s="1"/>
    </row>
    <row r="22" ht="15.0" customHeight="1">
      <c r="B22" s="24" t="s">
        <v>180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2"/>
      <c r="T22" s="26" t="s">
        <v>6</v>
      </c>
      <c r="V22" s="47" t="s">
        <v>181</v>
      </c>
      <c r="W22" s="11"/>
      <c r="X22" s="11"/>
      <c r="Y22" s="11"/>
      <c r="Z22" s="11"/>
      <c r="AA22" s="11"/>
      <c r="AB22" s="11"/>
      <c r="AC22" s="11"/>
      <c r="AD22" s="12"/>
      <c r="AE22" s="48" t="s">
        <v>179</v>
      </c>
      <c r="AF22" s="11"/>
      <c r="AG22" s="12"/>
      <c r="AH22" s="49"/>
      <c r="AI22" s="18"/>
      <c r="AJ22" s="18"/>
      <c r="AK22" s="18"/>
      <c r="AL22" s="52" t="s">
        <v>21</v>
      </c>
      <c r="AM22" s="51" t="s">
        <v>6</v>
      </c>
      <c r="AN22" s="1"/>
    </row>
    <row r="23" ht="15.0" customHeight="1">
      <c r="B23" s="24" t="s">
        <v>182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2"/>
      <c r="T23" s="26" t="s">
        <v>6</v>
      </c>
      <c r="V23" s="47" t="s">
        <v>183</v>
      </c>
      <c r="W23" s="11"/>
      <c r="X23" s="11"/>
      <c r="Y23" s="11"/>
      <c r="Z23" s="11"/>
      <c r="AA23" s="11"/>
      <c r="AB23" s="11"/>
      <c r="AC23" s="11"/>
      <c r="AD23" s="12"/>
      <c r="AE23" s="48" t="s">
        <v>184</v>
      </c>
      <c r="AF23" s="11"/>
      <c r="AG23" s="12"/>
      <c r="AH23" s="47"/>
      <c r="AI23" s="11"/>
      <c r="AJ23" s="11"/>
      <c r="AK23" s="11"/>
      <c r="AL23" s="53" t="s">
        <v>21</v>
      </c>
      <c r="AM23" s="51" t="s">
        <v>6</v>
      </c>
      <c r="AN23" s="1"/>
    </row>
    <row r="24" ht="15.0" customHeight="1">
      <c r="B24" s="24" t="s">
        <v>185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2"/>
      <c r="T24" s="26" t="s">
        <v>6</v>
      </c>
      <c r="V24" s="47" t="s">
        <v>22</v>
      </c>
      <c r="W24" s="11"/>
      <c r="X24" s="11"/>
      <c r="Y24" s="11"/>
      <c r="Z24" s="11"/>
      <c r="AA24" s="11"/>
      <c r="AB24" s="11"/>
      <c r="AC24" s="11"/>
      <c r="AD24" s="12"/>
      <c r="AE24" s="48" t="s">
        <v>186</v>
      </c>
      <c r="AF24" s="11"/>
      <c r="AG24" s="12"/>
      <c r="AH24" s="47"/>
      <c r="AI24" s="11"/>
      <c r="AJ24" s="11"/>
      <c r="AK24" s="11"/>
      <c r="AL24" s="53" t="s">
        <v>93</v>
      </c>
      <c r="AM24" s="51" t="s">
        <v>6</v>
      </c>
      <c r="AN24" s="1"/>
    </row>
    <row r="25" ht="15.0" customHeight="1">
      <c r="B25" s="24" t="s">
        <v>187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2"/>
      <c r="T25" s="26"/>
      <c r="V25" s="85" t="s">
        <v>77</v>
      </c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9"/>
      <c r="AN25" s="1"/>
    </row>
    <row r="26" ht="15.0" customHeight="1">
      <c r="B26" s="16" t="s">
        <v>188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2"/>
      <c r="V26" s="27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28"/>
      <c r="AN26" s="1"/>
    </row>
    <row r="27" ht="15.0" customHeight="1">
      <c r="B27" s="24" t="s">
        <v>177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2"/>
      <c r="T27" s="26" t="s">
        <v>6</v>
      </c>
      <c r="V27" s="44" t="s">
        <v>15</v>
      </c>
      <c r="W27" s="11"/>
      <c r="X27" s="11"/>
      <c r="Y27" s="11"/>
      <c r="Z27" s="11"/>
      <c r="AA27" s="11"/>
      <c r="AB27" s="11"/>
      <c r="AC27" s="11"/>
      <c r="AD27" s="12"/>
      <c r="AE27" s="44" t="s">
        <v>16</v>
      </c>
      <c r="AF27" s="11"/>
      <c r="AG27" s="12"/>
      <c r="AH27" s="45" t="s">
        <v>17</v>
      </c>
      <c r="AI27" s="18"/>
      <c r="AJ27" s="18"/>
      <c r="AK27" s="18"/>
      <c r="AL27" s="19"/>
      <c r="AM27" s="46"/>
      <c r="AN27" s="1"/>
    </row>
    <row r="28" ht="15.0" customHeight="1">
      <c r="B28" s="24" t="s">
        <v>189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2"/>
      <c r="T28" s="26" t="s">
        <v>6</v>
      </c>
      <c r="U28" s="1"/>
      <c r="V28" s="47" t="s">
        <v>178</v>
      </c>
      <c r="W28" s="11"/>
      <c r="X28" s="11"/>
      <c r="Y28" s="11"/>
      <c r="Z28" s="11"/>
      <c r="AA28" s="11"/>
      <c r="AB28" s="11"/>
      <c r="AC28" s="11"/>
      <c r="AD28" s="12"/>
      <c r="AE28" s="48" t="s">
        <v>179</v>
      </c>
      <c r="AF28" s="11"/>
      <c r="AG28" s="12"/>
      <c r="AH28" s="49"/>
      <c r="AI28" s="18"/>
      <c r="AJ28" s="18"/>
      <c r="AK28" s="18"/>
      <c r="AL28" s="50" t="s">
        <v>21</v>
      </c>
      <c r="AM28" s="51" t="s">
        <v>6</v>
      </c>
      <c r="AN28" s="1"/>
    </row>
    <row r="29" ht="15.0" customHeight="1">
      <c r="B29" s="24" t="s">
        <v>190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2"/>
      <c r="T29" s="26" t="s">
        <v>6</v>
      </c>
      <c r="U29" s="1"/>
      <c r="V29" s="47" t="s">
        <v>181</v>
      </c>
      <c r="W29" s="11"/>
      <c r="X29" s="11"/>
      <c r="Y29" s="11"/>
      <c r="Z29" s="11"/>
      <c r="AA29" s="11"/>
      <c r="AB29" s="11"/>
      <c r="AC29" s="11"/>
      <c r="AD29" s="12"/>
      <c r="AE29" s="48" t="s">
        <v>179</v>
      </c>
      <c r="AF29" s="11"/>
      <c r="AG29" s="12"/>
      <c r="AH29" s="49"/>
      <c r="AI29" s="18"/>
      <c r="AJ29" s="18"/>
      <c r="AK29" s="18"/>
      <c r="AL29" s="52" t="s">
        <v>21</v>
      </c>
      <c r="AM29" s="51" t="s">
        <v>6</v>
      </c>
      <c r="AN29" s="1"/>
    </row>
    <row r="30" ht="15.0" customHeight="1">
      <c r="A30" s="1"/>
      <c r="B30" s="24" t="s">
        <v>190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2"/>
      <c r="T30" s="26" t="s">
        <v>6</v>
      </c>
      <c r="U30" s="1"/>
      <c r="V30" s="47" t="s">
        <v>183</v>
      </c>
      <c r="W30" s="11"/>
      <c r="X30" s="11"/>
      <c r="Y30" s="11"/>
      <c r="Z30" s="11"/>
      <c r="AA30" s="11"/>
      <c r="AB30" s="11"/>
      <c r="AC30" s="11"/>
      <c r="AD30" s="12"/>
      <c r="AE30" s="48" t="s">
        <v>184</v>
      </c>
      <c r="AF30" s="11"/>
      <c r="AG30" s="12"/>
      <c r="AH30" s="47"/>
      <c r="AI30" s="11"/>
      <c r="AJ30" s="11"/>
      <c r="AK30" s="11"/>
      <c r="AL30" s="53" t="s">
        <v>21</v>
      </c>
      <c r="AM30" s="51" t="s">
        <v>6</v>
      </c>
      <c r="AN30" s="1"/>
    </row>
    <row r="31" ht="15.0" customHeight="1">
      <c r="B31" s="24" t="s">
        <v>191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2"/>
      <c r="T31" s="26" t="s">
        <v>6</v>
      </c>
      <c r="U31" s="1"/>
      <c r="V31" s="47" t="s">
        <v>22</v>
      </c>
      <c r="W31" s="11"/>
      <c r="X31" s="11"/>
      <c r="Y31" s="11"/>
      <c r="Z31" s="11"/>
      <c r="AA31" s="11"/>
      <c r="AB31" s="11"/>
      <c r="AC31" s="11"/>
      <c r="AD31" s="12"/>
      <c r="AE31" s="48" t="s">
        <v>186</v>
      </c>
      <c r="AF31" s="11"/>
      <c r="AG31" s="12"/>
      <c r="AH31" s="47"/>
      <c r="AI31" s="11"/>
      <c r="AJ31" s="11"/>
      <c r="AK31" s="11"/>
      <c r="AL31" s="53" t="s">
        <v>93</v>
      </c>
      <c r="AM31" s="51" t="s">
        <v>6</v>
      </c>
      <c r="AN31" s="1"/>
    </row>
    <row r="32" ht="15.0" customHeight="1">
      <c r="AN32" s="1"/>
    </row>
    <row r="33" ht="15.0" customHeight="1">
      <c r="B33" s="39" t="s">
        <v>58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2"/>
      <c r="AN33" s="1"/>
    </row>
    <row r="34" ht="15.0" customHeight="1">
      <c r="B34" s="20" t="s">
        <v>59</v>
      </c>
      <c r="C34" s="11"/>
      <c r="D34" s="11"/>
      <c r="E34" s="11"/>
      <c r="F34" s="11"/>
      <c r="G34" s="11"/>
      <c r="H34" s="11"/>
      <c r="I34" s="11"/>
      <c r="J34" s="11"/>
      <c r="K34" s="12"/>
      <c r="L34" s="20" t="s">
        <v>8</v>
      </c>
      <c r="M34" s="11"/>
      <c r="N34" s="11"/>
      <c r="O34" s="11"/>
      <c r="P34" s="11"/>
      <c r="Q34" s="11"/>
      <c r="R34" s="11"/>
      <c r="S34" s="11"/>
      <c r="T34" s="12"/>
      <c r="U34" s="20" t="s">
        <v>10</v>
      </c>
      <c r="V34" s="11"/>
      <c r="W34" s="11"/>
      <c r="X34" s="11"/>
      <c r="Y34" s="11"/>
      <c r="Z34" s="11"/>
      <c r="AA34" s="11"/>
      <c r="AB34" s="11"/>
      <c r="AC34" s="12"/>
      <c r="AD34" s="20" t="s">
        <v>60</v>
      </c>
      <c r="AE34" s="11"/>
      <c r="AF34" s="11"/>
      <c r="AG34" s="11"/>
      <c r="AH34" s="11"/>
      <c r="AI34" s="11"/>
      <c r="AJ34" s="11"/>
      <c r="AK34" s="11"/>
      <c r="AL34" s="11"/>
      <c r="AM34" s="12"/>
      <c r="AN34" s="1"/>
    </row>
    <row r="35" ht="15.0" customHeight="1">
      <c r="A35" s="40" t="s">
        <v>61</v>
      </c>
      <c r="B35" s="41" t="str">
        <f t="shared" ref="B35:B37" si="1">IFERROR(VLOOKUP(A35,catalogoAnalizadores!A:E,2,FALSE),"")</f>
        <v/>
      </c>
      <c r="C35" s="11"/>
      <c r="D35" s="11"/>
      <c r="E35" s="11"/>
      <c r="F35" s="11"/>
      <c r="G35" s="11"/>
      <c r="H35" s="11"/>
      <c r="I35" s="11"/>
      <c r="J35" s="11"/>
      <c r="K35" s="12"/>
      <c r="L35" s="41" t="str">
        <f t="shared" ref="L35:L37" si="2">IFERROR(VLOOKUP(A35,catalogoAnalizadores!A:E,3,FALSE),"")</f>
        <v/>
      </c>
      <c r="M35" s="11"/>
      <c r="N35" s="11"/>
      <c r="O35" s="11"/>
      <c r="P35" s="11"/>
      <c r="Q35" s="11"/>
      <c r="R35" s="11"/>
      <c r="S35" s="11"/>
      <c r="T35" s="12"/>
      <c r="U35" s="41" t="str">
        <f t="shared" ref="U35:U37" si="3">IFERROR(VLOOKUP(A35,catalogoAnalizadores!A:E,4,FALSE),"")</f>
        <v/>
      </c>
      <c r="V35" s="11"/>
      <c r="W35" s="11"/>
      <c r="X35" s="11"/>
      <c r="Y35" s="11"/>
      <c r="Z35" s="11"/>
      <c r="AA35" s="11"/>
      <c r="AB35" s="11"/>
      <c r="AC35" s="12"/>
      <c r="AD35" s="41" t="str">
        <f t="shared" ref="AD35:AD37" si="4">IFERROR(VLOOKUP(A35,catalogoAnalizadores!A:E,5,FALSE),"")</f>
        <v/>
      </c>
      <c r="AE35" s="11"/>
      <c r="AF35" s="11"/>
      <c r="AG35" s="11"/>
      <c r="AH35" s="11"/>
      <c r="AI35" s="11"/>
      <c r="AJ35" s="11"/>
      <c r="AK35" s="11"/>
      <c r="AL35" s="11"/>
      <c r="AM35" s="12"/>
      <c r="AN35" s="1"/>
    </row>
    <row r="36" ht="15.0" customHeight="1">
      <c r="A36" s="40" t="s">
        <v>61</v>
      </c>
      <c r="B36" s="41" t="str">
        <f t="shared" si="1"/>
        <v/>
      </c>
      <c r="C36" s="11"/>
      <c r="D36" s="11"/>
      <c r="E36" s="11"/>
      <c r="F36" s="11"/>
      <c r="G36" s="11"/>
      <c r="H36" s="11"/>
      <c r="I36" s="11"/>
      <c r="J36" s="11"/>
      <c r="K36" s="12"/>
      <c r="L36" s="41" t="str">
        <f t="shared" si="2"/>
        <v/>
      </c>
      <c r="M36" s="11"/>
      <c r="N36" s="11"/>
      <c r="O36" s="11"/>
      <c r="P36" s="11"/>
      <c r="Q36" s="11"/>
      <c r="R36" s="11"/>
      <c r="S36" s="11"/>
      <c r="T36" s="12"/>
      <c r="U36" s="41" t="str">
        <f t="shared" si="3"/>
        <v/>
      </c>
      <c r="V36" s="11"/>
      <c r="W36" s="11"/>
      <c r="X36" s="11"/>
      <c r="Y36" s="11"/>
      <c r="Z36" s="11"/>
      <c r="AA36" s="11"/>
      <c r="AB36" s="11"/>
      <c r="AC36" s="12"/>
      <c r="AD36" s="41" t="str">
        <f t="shared" si="4"/>
        <v/>
      </c>
      <c r="AE36" s="11"/>
      <c r="AF36" s="11"/>
      <c r="AG36" s="11"/>
      <c r="AH36" s="11"/>
      <c r="AI36" s="11"/>
      <c r="AJ36" s="11"/>
      <c r="AK36" s="11"/>
      <c r="AL36" s="11"/>
      <c r="AM36" s="12"/>
      <c r="AN36" s="1"/>
    </row>
    <row r="37" ht="15.0" customHeight="1">
      <c r="A37" s="40" t="s">
        <v>61</v>
      </c>
      <c r="B37" s="41" t="str">
        <f t="shared" si="1"/>
        <v/>
      </c>
      <c r="C37" s="11"/>
      <c r="D37" s="11"/>
      <c r="E37" s="11"/>
      <c r="F37" s="11"/>
      <c r="G37" s="11"/>
      <c r="H37" s="11"/>
      <c r="I37" s="11"/>
      <c r="J37" s="11"/>
      <c r="K37" s="12"/>
      <c r="L37" s="41" t="str">
        <f t="shared" si="2"/>
        <v/>
      </c>
      <c r="M37" s="11"/>
      <c r="N37" s="11"/>
      <c r="O37" s="11"/>
      <c r="P37" s="11"/>
      <c r="Q37" s="11"/>
      <c r="R37" s="11"/>
      <c r="S37" s="11"/>
      <c r="T37" s="12"/>
      <c r="U37" s="41" t="str">
        <f t="shared" si="3"/>
        <v/>
      </c>
      <c r="V37" s="11"/>
      <c r="W37" s="11"/>
      <c r="X37" s="11"/>
      <c r="Y37" s="11"/>
      <c r="Z37" s="11"/>
      <c r="AA37" s="11"/>
      <c r="AB37" s="11"/>
      <c r="AC37" s="12"/>
      <c r="AD37" s="41" t="str">
        <f t="shared" si="4"/>
        <v/>
      </c>
      <c r="AE37" s="11"/>
      <c r="AF37" s="11"/>
      <c r="AG37" s="11"/>
      <c r="AH37" s="11"/>
      <c r="AI37" s="11"/>
      <c r="AJ37" s="11"/>
      <c r="AK37" s="11"/>
      <c r="AL37" s="11"/>
      <c r="AM37" s="12"/>
      <c r="AN37" s="1"/>
    </row>
    <row r="38" ht="15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ht="15.0" customHeight="1">
      <c r="B39" s="39" t="s">
        <v>62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2"/>
      <c r="AN39" s="1"/>
    </row>
    <row r="40" ht="15.0" customHeight="1">
      <c r="B40" s="25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2"/>
      <c r="AN40" s="1"/>
    </row>
    <row r="41" ht="15.0" customHeight="1">
      <c r="B41" s="25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2"/>
      <c r="AN41" s="1"/>
    </row>
    <row r="42" ht="15.0" customHeight="1">
      <c r="B42" s="25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2"/>
      <c r="AN42" s="1"/>
    </row>
    <row r="43" ht="15.0" customHeight="1">
      <c r="B43" s="25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2"/>
      <c r="AN43" s="1"/>
    </row>
    <row r="44" ht="15.0" customHeight="1">
      <c r="AN44" s="1"/>
    </row>
    <row r="45" ht="15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ht="15.0" customHeight="1">
      <c r="A46" s="1"/>
      <c r="M46" s="7"/>
      <c r="N46" s="7"/>
      <c r="O46" s="1"/>
      <c r="AB46" s="7"/>
      <c r="AC46" s="1"/>
      <c r="AD46" s="7"/>
      <c r="AN46" s="1"/>
    </row>
    <row r="47" ht="27.0" customHeight="1">
      <c r="B47" s="42" t="s">
        <v>63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"/>
      <c r="N47" s="1"/>
      <c r="O47" s="1"/>
      <c r="P47" s="1"/>
      <c r="Q47" s="42" t="s">
        <v>64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"/>
      <c r="AC47" s="1"/>
      <c r="AD47" s="42" t="s">
        <v>65</v>
      </c>
      <c r="AE47" s="18"/>
      <c r="AF47" s="18"/>
      <c r="AG47" s="18"/>
      <c r="AH47" s="18"/>
      <c r="AI47" s="18"/>
      <c r="AJ47" s="18"/>
      <c r="AK47" s="18"/>
      <c r="AL47" s="18"/>
      <c r="AM47" s="18"/>
      <c r="AN47" s="1"/>
    </row>
    <row r="48" ht="15.0" customHeight="1">
      <c r="AN48" s="1"/>
    </row>
    <row r="49" ht="15.0" customHeight="1">
      <c r="AN49" s="1"/>
    </row>
    <row r="50" ht="15.0" customHeight="1">
      <c r="AN50" s="1"/>
    </row>
    <row r="51" ht="15.0" customHeight="1">
      <c r="AN51" s="1"/>
    </row>
    <row r="52" ht="15.0" customHeight="1">
      <c r="AN52" s="1"/>
    </row>
    <row r="53" ht="15.0" customHeight="1">
      <c r="AN53" s="1"/>
    </row>
    <row r="54" ht="15.0" customHeight="1">
      <c r="A54" s="1"/>
      <c r="AN54" s="1"/>
    </row>
    <row r="55" ht="15.0" customHeight="1">
      <c r="AN55" s="1"/>
    </row>
    <row r="56" ht="15.0" customHeight="1"/>
    <row r="57" ht="15.0" customHeight="1">
      <c r="AN57" s="1"/>
    </row>
    <row r="58" ht="15.0" customHeight="1">
      <c r="AN58" s="1"/>
    </row>
    <row r="59" ht="15.0" customHeight="1">
      <c r="AN59" s="1"/>
    </row>
    <row r="60" ht="15.0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ht="15.0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ht="15.0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ht="15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ht="15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ht="15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ht="15.0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ht="15.75" customHeight="1">
      <c r="A102" s="1"/>
      <c r="B102" s="1"/>
    </row>
    <row r="103" ht="15.75" customHeight="1">
      <c r="A103" s="1"/>
      <c r="B103" s="1"/>
    </row>
    <row r="104" ht="15.75" customHeight="1">
      <c r="A104" s="1"/>
      <c r="B104" s="1"/>
    </row>
    <row r="105" ht="15.75" customHeight="1">
      <c r="A105" s="1"/>
      <c r="B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M16:O16"/>
    <mergeCell ref="R16:W16"/>
    <mergeCell ref="AK16:AL16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6:L16"/>
    <mergeCell ref="B18:T18"/>
    <mergeCell ref="B19:S19"/>
    <mergeCell ref="B20:S20"/>
    <mergeCell ref="B21:S21"/>
    <mergeCell ref="B22:S22"/>
    <mergeCell ref="B23:S23"/>
    <mergeCell ref="B31:S31"/>
    <mergeCell ref="V31:AD31"/>
    <mergeCell ref="AE31:AG31"/>
    <mergeCell ref="AH31:AK31"/>
    <mergeCell ref="B33:AM33"/>
    <mergeCell ref="B34:K34"/>
    <mergeCell ref="L34:T34"/>
    <mergeCell ref="B35:K35"/>
    <mergeCell ref="L35:T35"/>
    <mergeCell ref="U35:AC35"/>
    <mergeCell ref="AD35:AM35"/>
    <mergeCell ref="L36:T36"/>
    <mergeCell ref="U36:AC36"/>
    <mergeCell ref="AD36:AM36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AE30:AG30"/>
    <mergeCell ref="AH30:AK30"/>
    <mergeCell ref="B27:S27"/>
    <mergeCell ref="B28:S28"/>
    <mergeCell ref="V28:AD28"/>
    <mergeCell ref="AE28:AG28"/>
    <mergeCell ref="AH28:AK28"/>
    <mergeCell ref="B29:S29"/>
    <mergeCell ref="B30:S30"/>
    <mergeCell ref="U34:AC34"/>
    <mergeCell ref="AD34:AM34"/>
    <mergeCell ref="B36:K36"/>
    <mergeCell ref="B37:K37"/>
    <mergeCell ref="L37:T37"/>
    <mergeCell ref="U37:AC37"/>
    <mergeCell ref="AD37:AM37"/>
    <mergeCell ref="B39:AM39"/>
    <mergeCell ref="B40:AM40"/>
  </mergeCells>
  <dataValidations>
    <dataValidation type="list" allowBlank="1" sqref="A35:A37">
      <formula1>catalogoAnalizadores!$A$2:$A994</formula1>
    </dataValidation>
    <dataValidation type="list" allowBlank="1" showErrorMessage="1" sqref="AL10 M16 X16 AK16 AM21:AM24 T19:T25 T27:T31 AM28:AM31">
      <formula1>"✓,✖,N/A"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0"/>
    <col customWidth="1" min="2" max="8" width="3.29"/>
    <col customWidth="1" min="9" max="9" width="4.57"/>
    <col customWidth="1" min="10" max="12" width="3.29"/>
    <col customWidth="1" min="13" max="13" width="5.71"/>
    <col customWidth="1" min="14" max="17" width="3.29"/>
    <col customWidth="1" min="18" max="18" width="3.86"/>
    <col customWidth="1" min="19" max="19" width="9.29"/>
    <col customWidth="1" min="20" max="20" width="2.71"/>
    <col customWidth="1" min="21" max="24" width="4.0"/>
    <col customWidth="1" min="25" max="25" width="0.43"/>
    <col customWidth="1" min="26" max="31" width="4.0"/>
    <col customWidth="1" min="32" max="32" width="6.0"/>
    <col customWidth="1" min="33" max="34" width="4.0"/>
    <col customWidth="1" min="35" max="35" width="3.86"/>
    <col customWidth="1" min="36" max="36" width="3.29"/>
    <col customWidth="1" min="37" max="37" width="6.29"/>
    <col customWidth="1" min="38" max="38" width="9.29"/>
    <col customWidth="1" min="39" max="39" width="5.0"/>
  </cols>
  <sheetData>
    <row r="1" ht="15.0" customHeight="1">
      <c r="A1" s="61" t="s">
        <v>192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</row>
    <row r="2" ht="15.0" customHeight="1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</row>
    <row r="3" ht="15.0" customHeight="1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</row>
    <row r="4" ht="15.0" customHeight="1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</row>
    <row r="5" ht="15.0" customHeight="1">
      <c r="A5" s="61"/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</row>
    <row r="6" ht="15.0" customHeight="1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</row>
    <row r="7" ht="15.0" customHeight="1">
      <c r="A7" s="61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1"/>
    </row>
    <row r="8" ht="22.5" customHeight="1">
      <c r="A8" s="9"/>
      <c r="B8" s="9"/>
      <c r="C8" s="86" t="s">
        <v>193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4" t="s">
        <v>1</v>
      </c>
      <c r="AE8" s="87"/>
      <c r="AF8" s="6"/>
      <c r="AG8" s="6"/>
      <c r="AH8" s="6"/>
      <c r="AI8" s="6"/>
      <c r="AJ8" s="6"/>
      <c r="AK8" s="6"/>
      <c r="AL8" s="6"/>
      <c r="AM8" s="9"/>
    </row>
    <row r="9" ht="15.0" customHeight="1">
      <c r="A9" s="61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2"/>
    </row>
    <row r="10" ht="15.0" customHeight="1">
      <c r="A10" s="61"/>
      <c r="B10" s="66" t="s">
        <v>2</v>
      </c>
      <c r="D10" s="67" t="str">
        <f> TEXT(DATE(YEAR(TODAY()), MONTH(TODAY()), 25), "dd/mmm/yyyy")</f>
        <v>25/jul/2026</v>
      </c>
      <c r="I10" s="61"/>
      <c r="J10" s="61"/>
      <c r="K10" s="61"/>
      <c r="L10" s="61"/>
      <c r="M10" s="61"/>
      <c r="N10" s="61"/>
      <c r="O10" s="61"/>
      <c r="P10" s="62"/>
      <c r="Q10" s="62"/>
      <c r="R10" s="62"/>
      <c r="S10" s="64" t="s">
        <v>3</v>
      </c>
      <c r="X10" s="61" t="s">
        <v>4</v>
      </c>
      <c r="AA10" s="61"/>
      <c r="AB10" s="61"/>
      <c r="AC10" s="61"/>
      <c r="AD10" s="61"/>
      <c r="AE10" s="61"/>
      <c r="AF10" s="61"/>
      <c r="AG10" s="62"/>
      <c r="AH10" s="68" t="s">
        <v>5</v>
      </c>
      <c r="AI10" s="11"/>
      <c r="AJ10" s="11"/>
      <c r="AK10" s="12"/>
      <c r="AL10" s="51" t="s">
        <v>6</v>
      </c>
      <c r="AM10" s="61"/>
    </row>
    <row r="11" ht="15.0" customHeight="1">
      <c r="A11" s="61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</row>
    <row r="12" ht="15.0" customHeight="1">
      <c r="A12" s="61"/>
      <c r="B12" s="70" t="s">
        <v>7</v>
      </c>
      <c r="C12" s="11"/>
      <c r="D12" s="11"/>
      <c r="E12" s="11"/>
      <c r="F12" s="12"/>
      <c r="G12" s="47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2"/>
      <c r="T12" s="70" t="s">
        <v>8</v>
      </c>
      <c r="U12" s="11"/>
      <c r="V12" s="11"/>
      <c r="W12" s="11"/>
      <c r="X12" s="11"/>
      <c r="Y12" s="11"/>
      <c r="Z12" s="12"/>
      <c r="AA12" s="47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2"/>
      <c r="AM12" s="61"/>
    </row>
    <row r="13" ht="15.0" customHeight="1">
      <c r="A13" s="62"/>
      <c r="B13" s="70" t="s">
        <v>9</v>
      </c>
      <c r="C13" s="11"/>
      <c r="D13" s="11"/>
      <c r="E13" s="11"/>
      <c r="F13" s="12"/>
      <c r="G13" s="47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2"/>
      <c r="T13" s="70" t="s">
        <v>10</v>
      </c>
      <c r="U13" s="11"/>
      <c r="V13" s="11"/>
      <c r="W13" s="11"/>
      <c r="X13" s="11"/>
      <c r="Y13" s="11"/>
      <c r="Z13" s="12"/>
      <c r="AA13" s="47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2"/>
      <c r="AM13" s="61"/>
    </row>
    <row r="14" ht="15.0" customHeight="1">
      <c r="A14" s="61"/>
      <c r="B14" s="70" t="s">
        <v>11</v>
      </c>
      <c r="C14" s="11"/>
      <c r="D14" s="11"/>
      <c r="E14" s="11"/>
      <c r="F14" s="12"/>
      <c r="G14" s="47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2"/>
      <c r="T14" s="70" t="s">
        <v>12</v>
      </c>
      <c r="U14" s="11"/>
      <c r="V14" s="11"/>
      <c r="W14" s="11"/>
      <c r="X14" s="11"/>
      <c r="Y14" s="11"/>
      <c r="Z14" s="12"/>
      <c r="AA14" s="47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2"/>
      <c r="AM14" s="61"/>
    </row>
    <row r="15" ht="15.0" customHeight="1">
      <c r="A15" s="62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</row>
    <row r="16" ht="15.0" customHeight="1">
      <c r="A16" s="62"/>
      <c r="B16" s="43" t="s">
        <v>194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2"/>
      <c r="T16" s="61"/>
      <c r="U16" s="43" t="s">
        <v>195</v>
      </c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2"/>
      <c r="AM16" s="61"/>
    </row>
    <row r="17" ht="15.0" customHeight="1">
      <c r="A17" s="62"/>
      <c r="B17" s="44" t="s">
        <v>15</v>
      </c>
      <c r="C17" s="11"/>
      <c r="D17" s="11"/>
      <c r="E17" s="11"/>
      <c r="F17" s="11"/>
      <c r="G17" s="11"/>
      <c r="H17" s="11"/>
      <c r="I17" s="11"/>
      <c r="J17" s="12"/>
      <c r="K17" s="44" t="s">
        <v>16</v>
      </c>
      <c r="L17" s="11"/>
      <c r="M17" s="12"/>
      <c r="N17" s="44" t="s">
        <v>17</v>
      </c>
      <c r="O17" s="11"/>
      <c r="P17" s="11"/>
      <c r="Q17" s="11"/>
      <c r="R17" s="12"/>
      <c r="S17" s="72"/>
      <c r="T17" s="61"/>
      <c r="U17" s="88" t="s">
        <v>196</v>
      </c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2"/>
      <c r="AL17" s="54" t="s">
        <v>6</v>
      </c>
      <c r="AM17" s="61"/>
    </row>
    <row r="18" ht="15.0" customHeight="1">
      <c r="A18" s="61"/>
      <c r="B18" s="47" t="s">
        <v>197</v>
      </c>
      <c r="C18" s="11"/>
      <c r="D18" s="11"/>
      <c r="E18" s="11"/>
      <c r="F18" s="11"/>
      <c r="G18" s="11"/>
      <c r="H18" s="11"/>
      <c r="I18" s="11"/>
      <c r="J18" s="12"/>
      <c r="K18" s="48" t="s">
        <v>20</v>
      </c>
      <c r="L18" s="11"/>
      <c r="M18" s="12"/>
      <c r="N18" s="47"/>
      <c r="O18" s="11"/>
      <c r="P18" s="11"/>
      <c r="Q18" s="12"/>
      <c r="R18" s="89" t="s">
        <v>21</v>
      </c>
      <c r="S18" s="54" t="s">
        <v>6</v>
      </c>
      <c r="T18" s="61"/>
      <c r="U18" s="88" t="s">
        <v>198</v>
      </c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2"/>
      <c r="AL18" s="54" t="s">
        <v>6</v>
      </c>
      <c r="AM18" s="61"/>
    </row>
    <row r="19" ht="15.0" customHeight="1">
      <c r="A19" s="62"/>
      <c r="B19" s="47" t="s">
        <v>199</v>
      </c>
      <c r="C19" s="11"/>
      <c r="D19" s="11"/>
      <c r="E19" s="11"/>
      <c r="F19" s="11"/>
      <c r="G19" s="11"/>
      <c r="H19" s="11"/>
      <c r="I19" s="11"/>
      <c r="J19" s="12"/>
      <c r="K19" s="48" t="s">
        <v>20</v>
      </c>
      <c r="L19" s="11"/>
      <c r="M19" s="12"/>
      <c r="N19" s="47"/>
      <c r="O19" s="11"/>
      <c r="P19" s="11"/>
      <c r="Q19" s="12"/>
      <c r="R19" s="89" t="s">
        <v>21</v>
      </c>
      <c r="S19" s="54" t="s">
        <v>6</v>
      </c>
      <c r="T19" s="61"/>
      <c r="U19" s="88" t="s">
        <v>200</v>
      </c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2"/>
      <c r="AL19" s="54" t="s">
        <v>6</v>
      </c>
      <c r="AM19" s="61"/>
    </row>
    <row r="20" ht="15.0" customHeight="1">
      <c r="A20" s="62"/>
      <c r="B20" s="47" t="s">
        <v>201</v>
      </c>
      <c r="C20" s="11"/>
      <c r="D20" s="11"/>
      <c r="E20" s="11"/>
      <c r="F20" s="11"/>
      <c r="G20" s="11"/>
      <c r="H20" s="11"/>
      <c r="I20" s="11"/>
      <c r="J20" s="12"/>
      <c r="K20" s="48" t="s">
        <v>202</v>
      </c>
      <c r="L20" s="11"/>
      <c r="M20" s="12"/>
      <c r="N20" s="47"/>
      <c r="O20" s="11"/>
      <c r="P20" s="11"/>
      <c r="Q20" s="12"/>
      <c r="R20" s="89" t="s">
        <v>21</v>
      </c>
      <c r="S20" s="54" t="s">
        <v>6</v>
      </c>
      <c r="T20" s="62"/>
      <c r="AM20" s="61"/>
    </row>
    <row r="21" ht="15.0" customHeight="1">
      <c r="A21" s="62"/>
      <c r="B21" s="47" t="s">
        <v>203</v>
      </c>
      <c r="C21" s="11"/>
      <c r="D21" s="11"/>
      <c r="E21" s="11"/>
      <c r="F21" s="11"/>
      <c r="G21" s="11"/>
      <c r="H21" s="11"/>
      <c r="I21" s="11"/>
      <c r="J21" s="12"/>
      <c r="K21" s="48" t="s">
        <v>204</v>
      </c>
      <c r="L21" s="11"/>
      <c r="M21" s="12"/>
      <c r="N21" s="47"/>
      <c r="O21" s="11"/>
      <c r="P21" s="11"/>
      <c r="Q21" s="12"/>
      <c r="R21" s="89" t="s">
        <v>205</v>
      </c>
      <c r="S21" s="54" t="s">
        <v>6</v>
      </c>
      <c r="T21" s="62"/>
      <c r="U21" s="43" t="s">
        <v>206</v>
      </c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  <c r="AM21" s="61"/>
    </row>
    <row r="22" ht="15.0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44" t="s">
        <v>207</v>
      </c>
      <c r="V22" s="11"/>
      <c r="W22" s="11"/>
      <c r="X22" s="11"/>
      <c r="Y22" s="11"/>
      <c r="Z22" s="11"/>
      <c r="AA22" s="11"/>
      <c r="AB22" s="12"/>
      <c r="AC22" s="44" t="s">
        <v>208</v>
      </c>
      <c r="AD22" s="11"/>
      <c r="AE22" s="11"/>
      <c r="AF22" s="12"/>
      <c r="AG22" s="44" t="s">
        <v>209</v>
      </c>
      <c r="AH22" s="11"/>
      <c r="AI22" s="11"/>
      <c r="AJ22" s="11"/>
      <c r="AK22" s="12"/>
      <c r="AL22" s="72"/>
      <c r="AM22" s="61"/>
    </row>
    <row r="23" ht="15.0" customHeight="1">
      <c r="A23" s="62"/>
      <c r="B23" s="43" t="s">
        <v>210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2"/>
      <c r="T23" s="62"/>
      <c r="U23" s="90" t="s">
        <v>211</v>
      </c>
      <c r="V23" s="11"/>
      <c r="W23" s="11"/>
      <c r="X23" s="11"/>
      <c r="Y23" s="11"/>
      <c r="Z23" s="11"/>
      <c r="AA23" s="11"/>
      <c r="AB23" s="12"/>
      <c r="AC23" s="90"/>
      <c r="AD23" s="11"/>
      <c r="AE23" s="11"/>
      <c r="AF23" s="12"/>
      <c r="AG23" s="47"/>
      <c r="AH23" s="11"/>
      <c r="AI23" s="11"/>
      <c r="AJ23" s="11"/>
      <c r="AK23" s="12"/>
      <c r="AL23" s="54" t="s">
        <v>6</v>
      </c>
      <c r="AM23" s="61"/>
    </row>
    <row r="24" ht="15.0" customHeight="1">
      <c r="A24" s="62"/>
      <c r="B24" s="44" t="s">
        <v>15</v>
      </c>
      <c r="C24" s="11"/>
      <c r="D24" s="11"/>
      <c r="E24" s="11"/>
      <c r="F24" s="11"/>
      <c r="G24" s="11"/>
      <c r="H24" s="11"/>
      <c r="I24" s="11"/>
      <c r="J24" s="12"/>
      <c r="K24" s="44" t="s">
        <v>16</v>
      </c>
      <c r="L24" s="11"/>
      <c r="M24" s="12"/>
      <c r="N24" s="44" t="s">
        <v>17</v>
      </c>
      <c r="O24" s="11"/>
      <c r="P24" s="11"/>
      <c r="Q24" s="11"/>
      <c r="R24" s="12"/>
      <c r="S24" s="72"/>
      <c r="T24" s="62"/>
      <c r="U24" s="90" t="s">
        <v>212</v>
      </c>
      <c r="V24" s="11"/>
      <c r="W24" s="11"/>
      <c r="X24" s="11"/>
      <c r="Y24" s="11"/>
      <c r="Z24" s="11"/>
      <c r="AA24" s="11"/>
      <c r="AB24" s="12"/>
      <c r="AC24" s="90"/>
      <c r="AD24" s="11"/>
      <c r="AE24" s="11"/>
      <c r="AF24" s="12"/>
      <c r="AG24" s="47"/>
      <c r="AH24" s="11"/>
      <c r="AI24" s="11"/>
      <c r="AJ24" s="11"/>
      <c r="AK24" s="12"/>
      <c r="AL24" s="54" t="s">
        <v>6</v>
      </c>
      <c r="AM24" s="61"/>
    </row>
    <row r="25" ht="14.25" customHeight="1">
      <c r="A25" s="62"/>
      <c r="B25" s="47" t="s">
        <v>213</v>
      </c>
      <c r="C25" s="11"/>
      <c r="D25" s="11"/>
      <c r="E25" s="11"/>
      <c r="F25" s="11"/>
      <c r="G25" s="11"/>
      <c r="H25" s="11"/>
      <c r="I25" s="11"/>
      <c r="J25" s="12"/>
      <c r="K25" s="48" t="s">
        <v>214</v>
      </c>
      <c r="L25" s="11"/>
      <c r="M25" s="12"/>
      <c r="N25" s="47"/>
      <c r="O25" s="11"/>
      <c r="P25" s="11"/>
      <c r="Q25" s="11"/>
      <c r="R25" s="53" t="s">
        <v>215</v>
      </c>
      <c r="S25" s="51" t="s">
        <v>6</v>
      </c>
      <c r="T25" s="62"/>
      <c r="U25" s="90" t="s">
        <v>216</v>
      </c>
      <c r="V25" s="11"/>
      <c r="W25" s="11"/>
      <c r="X25" s="11"/>
      <c r="Y25" s="11"/>
      <c r="Z25" s="11"/>
      <c r="AA25" s="11"/>
      <c r="AB25" s="12"/>
      <c r="AC25" s="90"/>
      <c r="AD25" s="11"/>
      <c r="AE25" s="11"/>
      <c r="AF25" s="12"/>
      <c r="AG25" s="47"/>
      <c r="AH25" s="11"/>
      <c r="AI25" s="11"/>
      <c r="AJ25" s="11"/>
      <c r="AK25" s="12"/>
      <c r="AL25" s="54" t="s">
        <v>6</v>
      </c>
      <c r="AM25" s="61"/>
    </row>
    <row r="26" ht="14.2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</row>
    <row r="27" ht="14.25" customHeight="1">
      <c r="A27" s="62"/>
      <c r="B27" s="43" t="s">
        <v>217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2"/>
      <c r="T27" s="61"/>
      <c r="U27" s="43" t="s">
        <v>218</v>
      </c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A28" s="61"/>
      <c r="B28" s="44" t="s">
        <v>15</v>
      </c>
      <c r="C28" s="11"/>
      <c r="D28" s="11"/>
      <c r="E28" s="11"/>
      <c r="F28" s="11"/>
      <c r="G28" s="11"/>
      <c r="H28" s="11"/>
      <c r="I28" s="11"/>
      <c r="J28" s="12"/>
      <c r="K28" s="44" t="s">
        <v>16</v>
      </c>
      <c r="L28" s="11"/>
      <c r="M28" s="12"/>
      <c r="N28" s="44" t="s">
        <v>17</v>
      </c>
      <c r="O28" s="11"/>
      <c r="P28" s="11"/>
      <c r="Q28" s="11"/>
      <c r="R28" s="12"/>
      <c r="S28" s="72"/>
      <c r="T28" s="61"/>
      <c r="U28" s="44" t="s">
        <v>219</v>
      </c>
      <c r="V28" s="11"/>
      <c r="W28" s="11"/>
      <c r="X28" s="11"/>
      <c r="Y28" s="11"/>
      <c r="Z28" s="11"/>
      <c r="AA28" s="11"/>
      <c r="AB28" s="11"/>
      <c r="AC28" s="44" t="s">
        <v>220</v>
      </c>
      <c r="AD28" s="11"/>
      <c r="AE28" s="11"/>
      <c r="AF28" s="12"/>
      <c r="AG28" s="44" t="s">
        <v>221</v>
      </c>
      <c r="AH28" s="11"/>
      <c r="AI28" s="11"/>
      <c r="AJ28" s="11"/>
      <c r="AK28" s="12"/>
      <c r="AL28" s="46"/>
      <c r="AM28" s="61"/>
    </row>
    <row r="29" ht="14.25" customHeight="1">
      <c r="A29" s="62"/>
      <c r="B29" s="47" t="s">
        <v>222</v>
      </c>
      <c r="C29" s="11"/>
      <c r="D29" s="11"/>
      <c r="E29" s="11"/>
      <c r="F29" s="11"/>
      <c r="G29" s="11"/>
      <c r="H29" s="11"/>
      <c r="I29" s="11"/>
      <c r="J29" s="12"/>
      <c r="K29" s="48" t="s">
        <v>223</v>
      </c>
      <c r="L29" s="11"/>
      <c r="M29" s="12"/>
      <c r="N29" s="47"/>
      <c r="O29" s="11"/>
      <c r="P29" s="11"/>
      <c r="Q29" s="11"/>
      <c r="R29" s="53" t="s">
        <v>224</v>
      </c>
      <c r="S29" s="51" t="s">
        <v>6</v>
      </c>
      <c r="T29" s="61"/>
      <c r="U29" s="90" t="s">
        <v>211</v>
      </c>
      <c r="V29" s="11"/>
      <c r="W29" s="11"/>
      <c r="X29" s="11"/>
      <c r="Y29" s="11"/>
      <c r="Z29" s="11"/>
      <c r="AA29" s="11"/>
      <c r="AB29" s="11"/>
      <c r="AC29" s="47"/>
      <c r="AD29" s="11"/>
      <c r="AE29" s="11"/>
      <c r="AF29" s="91" t="s">
        <v>225</v>
      </c>
      <c r="AG29" s="47"/>
      <c r="AH29" s="11"/>
      <c r="AI29" s="11"/>
      <c r="AJ29" s="11"/>
      <c r="AK29" s="91" t="s">
        <v>225</v>
      </c>
      <c r="AL29" s="51" t="s">
        <v>6</v>
      </c>
      <c r="AM29" s="61"/>
    </row>
    <row r="30" ht="14.25" customHeight="1">
      <c r="A30" s="62"/>
      <c r="B30" s="47" t="s">
        <v>226</v>
      </c>
      <c r="C30" s="11"/>
      <c r="D30" s="11"/>
      <c r="E30" s="11"/>
      <c r="F30" s="11"/>
      <c r="G30" s="11"/>
      <c r="H30" s="11"/>
      <c r="I30" s="11"/>
      <c r="J30" s="12"/>
      <c r="K30" s="48" t="s">
        <v>223</v>
      </c>
      <c r="L30" s="11"/>
      <c r="M30" s="12"/>
      <c r="N30" s="47"/>
      <c r="O30" s="11"/>
      <c r="P30" s="11"/>
      <c r="Q30" s="11"/>
      <c r="R30" s="53" t="s">
        <v>224</v>
      </c>
      <c r="S30" s="51" t="s">
        <v>6</v>
      </c>
      <c r="T30" s="61"/>
      <c r="U30" s="90" t="s">
        <v>212</v>
      </c>
      <c r="V30" s="11"/>
      <c r="W30" s="11"/>
      <c r="X30" s="11"/>
      <c r="Y30" s="11"/>
      <c r="Z30" s="11"/>
      <c r="AA30" s="11"/>
      <c r="AB30" s="11"/>
      <c r="AC30" s="47"/>
      <c r="AD30" s="11"/>
      <c r="AE30" s="11"/>
      <c r="AF30" s="91" t="s">
        <v>225</v>
      </c>
      <c r="AG30" s="47"/>
      <c r="AH30" s="11"/>
      <c r="AI30" s="11"/>
      <c r="AJ30" s="11"/>
      <c r="AK30" s="91" t="s">
        <v>225</v>
      </c>
      <c r="AL30" s="51" t="s">
        <v>6</v>
      </c>
      <c r="AM30" s="61"/>
    </row>
    <row r="31" ht="14.25" customHeight="1">
      <c r="A31" s="62"/>
      <c r="B31" s="47" t="s">
        <v>227</v>
      </c>
      <c r="C31" s="11"/>
      <c r="D31" s="11"/>
      <c r="E31" s="11"/>
      <c r="F31" s="11"/>
      <c r="G31" s="11"/>
      <c r="H31" s="11"/>
      <c r="I31" s="11"/>
      <c r="J31" s="12"/>
      <c r="K31" s="48" t="s">
        <v>223</v>
      </c>
      <c r="L31" s="11"/>
      <c r="M31" s="12"/>
      <c r="N31" s="47"/>
      <c r="O31" s="11"/>
      <c r="P31" s="11"/>
      <c r="Q31" s="11"/>
      <c r="R31" s="53" t="s">
        <v>224</v>
      </c>
      <c r="S31" s="51" t="s">
        <v>6</v>
      </c>
      <c r="T31" s="61"/>
      <c r="U31" s="90" t="s">
        <v>216</v>
      </c>
      <c r="V31" s="11"/>
      <c r="W31" s="11"/>
      <c r="X31" s="11"/>
      <c r="Y31" s="11"/>
      <c r="Z31" s="11"/>
      <c r="AA31" s="11"/>
      <c r="AB31" s="11"/>
      <c r="AC31" s="47"/>
      <c r="AD31" s="11"/>
      <c r="AE31" s="11"/>
      <c r="AF31" s="91" t="s">
        <v>225</v>
      </c>
      <c r="AG31" s="47"/>
      <c r="AH31" s="11"/>
      <c r="AI31" s="11"/>
      <c r="AJ31" s="11"/>
      <c r="AK31" s="91" t="s">
        <v>225</v>
      </c>
      <c r="AL31" s="51" t="s">
        <v>6</v>
      </c>
      <c r="AM31" s="61"/>
    </row>
    <row r="32" ht="14.25" customHeight="1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1"/>
      <c r="AM32" s="61"/>
    </row>
    <row r="33" ht="14.25" customHeight="1">
      <c r="A33" s="62"/>
      <c r="B33" s="43" t="s">
        <v>228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2"/>
      <c r="T33" s="61"/>
      <c r="U33" s="43" t="s">
        <v>229</v>
      </c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  <c r="AM33" s="61"/>
    </row>
    <row r="34" ht="14.25" customHeight="1">
      <c r="A34" s="62"/>
      <c r="B34" s="88" t="s">
        <v>230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2"/>
      <c r="S34" s="54" t="s">
        <v>6</v>
      </c>
      <c r="T34" s="61"/>
      <c r="U34" s="44" t="s">
        <v>231</v>
      </c>
      <c r="V34" s="11"/>
      <c r="W34" s="11"/>
      <c r="X34" s="12"/>
      <c r="Y34" s="44" t="s">
        <v>232</v>
      </c>
      <c r="Z34" s="11"/>
      <c r="AA34" s="11"/>
      <c r="AB34" s="12"/>
      <c r="AC34" s="44" t="s">
        <v>233</v>
      </c>
      <c r="AD34" s="11"/>
      <c r="AE34" s="11"/>
      <c r="AF34" s="12"/>
      <c r="AG34" s="44" t="s">
        <v>17</v>
      </c>
      <c r="AH34" s="11"/>
      <c r="AI34" s="11"/>
      <c r="AJ34" s="11"/>
      <c r="AK34" s="12"/>
      <c r="AL34" s="61"/>
      <c r="AM34" s="62"/>
    </row>
    <row r="35" ht="14.25" customHeight="1">
      <c r="A35" s="62"/>
      <c r="B35" s="92" t="s">
        <v>234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2"/>
      <c r="S35" s="54" t="s">
        <v>6</v>
      </c>
      <c r="T35" s="61"/>
      <c r="U35" s="44">
        <v>4.0</v>
      </c>
      <c r="V35" s="11"/>
      <c r="W35" s="11"/>
      <c r="X35" s="12"/>
      <c r="Y35" s="44">
        <v>3.0</v>
      </c>
      <c r="Z35" s="11"/>
      <c r="AA35" s="11"/>
      <c r="AB35" s="12"/>
      <c r="AC35" s="47"/>
      <c r="AD35" s="11"/>
      <c r="AE35" s="11"/>
      <c r="AF35" s="93" t="s">
        <v>235</v>
      </c>
      <c r="AG35" s="47"/>
      <c r="AH35" s="11"/>
      <c r="AI35" s="11"/>
      <c r="AJ35" s="11"/>
      <c r="AK35" s="93" t="s">
        <v>235</v>
      </c>
      <c r="AL35" s="51" t="s">
        <v>6</v>
      </c>
      <c r="AM35" s="61"/>
    </row>
    <row r="36" ht="14.25" customHeight="1">
      <c r="A36" s="62"/>
      <c r="B36" s="92" t="s">
        <v>236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2"/>
      <c r="S36" s="54" t="s">
        <v>6</v>
      </c>
      <c r="T36" s="61"/>
      <c r="U36" s="44">
        <v>3.5</v>
      </c>
      <c r="V36" s="11"/>
      <c r="W36" s="11"/>
      <c r="X36" s="12"/>
      <c r="Y36" s="44">
        <v>6.0</v>
      </c>
      <c r="Z36" s="11"/>
      <c r="AA36" s="11"/>
      <c r="AB36" s="12"/>
      <c r="AC36" s="47"/>
      <c r="AD36" s="11"/>
      <c r="AE36" s="11"/>
      <c r="AF36" s="93" t="s">
        <v>235</v>
      </c>
      <c r="AG36" s="47"/>
      <c r="AH36" s="11"/>
      <c r="AI36" s="11"/>
      <c r="AJ36" s="11"/>
      <c r="AK36" s="93" t="s">
        <v>235</v>
      </c>
      <c r="AL36" s="51" t="s">
        <v>6</v>
      </c>
      <c r="AM36" s="61"/>
    </row>
    <row r="37" ht="14.25" customHeight="1">
      <c r="A37" s="62"/>
      <c r="B37" s="92" t="s">
        <v>234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2"/>
      <c r="S37" s="54" t="s">
        <v>6</v>
      </c>
      <c r="T37" s="61"/>
      <c r="U37" s="44">
        <v>1.5</v>
      </c>
      <c r="V37" s="11"/>
      <c r="W37" s="11"/>
      <c r="X37" s="12"/>
      <c r="Y37" s="44">
        <v>8.0</v>
      </c>
      <c r="Z37" s="11"/>
      <c r="AA37" s="11"/>
      <c r="AB37" s="12"/>
      <c r="AC37" s="47"/>
      <c r="AD37" s="11"/>
      <c r="AE37" s="11"/>
      <c r="AF37" s="93" t="s">
        <v>235</v>
      </c>
      <c r="AG37" s="47"/>
      <c r="AH37" s="11"/>
      <c r="AI37" s="11"/>
      <c r="AJ37" s="11"/>
      <c r="AK37" s="93" t="s">
        <v>235</v>
      </c>
      <c r="AL37" s="51" t="s">
        <v>6</v>
      </c>
      <c r="AM37" s="61"/>
    </row>
    <row r="38" ht="14.25" customHeight="1">
      <c r="A38" s="62"/>
      <c r="B38" s="92" t="s">
        <v>237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2"/>
      <c r="S38" s="54" t="s">
        <v>6</v>
      </c>
      <c r="T38" s="61"/>
      <c r="AK38" s="61"/>
      <c r="AM38" s="61"/>
    </row>
    <row r="39" ht="14.25" customHeight="1">
      <c r="A39" s="62"/>
      <c r="B39" s="92" t="s">
        <v>238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2"/>
      <c r="S39" s="54" t="s">
        <v>6</v>
      </c>
      <c r="T39" s="61"/>
      <c r="U39" s="71" t="s">
        <v>239</v>
      </c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9"/>
      <c r="AM39" s="61"/>
    </row>
    <row r="40" ht="15.75" customHeight="1">
      <c r="B40" s="92" t="s">
        <v>240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2"/>
      <c r="S40" s="54" t="s">
        <v>6</v>
      </c>
      <c r="T40" s="61"/>
      <c r="U40" s="88" t="s">
        <v>241</v>
      </c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2"/>
      <c r="AL40" s="51" t="s">
        <v>6</v>
      </c>
      <c r="AM40" s="61"/>
    </row>
    <row r="41" ht="15.0" customHeight="1">
      <c r="B41" s="92" t="s">
        <v>242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2"/>
      <c r="S41" s="54" t="s">
        <v>6</v>
      </c>
      <c r="T41" s="61"/>
      <c r="U41" s="88" t="s">
        <v>243</v>
      </c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2"/>
      <c r="AL41" s="51" t="s">
        <v>6</v>
      </c>
      <c r="AM41" s="61"/>
    </row>
    <row r="42" ht="15.75" customHeight="1">
      <c r="B42" s="92" t="s">
        <v>244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2"/>
      <c r="S42" s="54" t="s">
        <v>6</v>
      </c>
      <c r="U42" s="88" t="s">
        <v>245</v>
      </c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2"/>
      <c r="AL42" s="51" t="s">
        <v>6</v>
      </c>
      <c r="AM42" s="61"/>
    </row>
    <row r="43" ht="15.75" customHeight="1">
      <c r="A43" s="62"/>
      <c r="B43" s="92" t="s">
        <v>246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2"/>
      <c r="S43" s="54" t="s">
        <v>6</v>
      </c>
      <c r="U43" s="88" t="s">
        <v>247</v>
      </c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2"/>
      <c r="AL43" s="51" t="s">
        <v>6</v>
      </c>
      <c r="AM43" s="61"/>
    </row>
    <row r="44" ht="15.75" customHeight="1">
      <c r="A44" s="62"/>
      <c r="B44" s="92" t="s">
        <v>248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2"/>
      <c r="S44" s="54" t="s">
        <v>6</v>
      </c>
      <c r="T44" s="61"/>
      <c r="U44" s="88" t="s">
        <v>249</v>
      </c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2"/>
      <c r="AL44" s="51" t="s">
        <v>6</v>
      </c>
      <c r="AM44" s="61"/>
    </row>
    <row r="45" ht="15.75" customHeight="1">
      <c r="A45" s="62"/>
      <c r="B45" s="92" t="s">
        <v>250</v>
      </c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2"/>
      <c r="S45" s="54" t="s">
        <v>6</v>
      </c>
      <c r="AM45" s="61"/>
    </row>
    <row r="46" ht="15.75" customHeight="1">
      <c r="A46" s="62"/>
      <c r="B46" s="92" t="s">
        <v>251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2"/>
      <c r="S46" s="54" t="s">
        <v>6</v>
      </c>
      <c r="U46" s="71" t="s">
        <v>252</v>
      </c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9"/>
      <c r="AM46" s="61"/>
    </row>
    <row r="47" ht="15.75" customHeight="1">
      <c r="A47" s="62"/>
      <c r="B47" s="92" t="s">
        <v>253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2"/>
      <c r="S47" s="54" t="s">
        <v>6</v>
      </c>
      <c r="U47" s="88" t="s">
        <v>254</v>
      </c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2"/>
      <c r="AL47" s="51" t="s">
        <v>6</v>
      </c>
      <c r="AM47" s="61"/>
    </row>
    <row r="48" ht="15.75" customHeight="1">
      <c r="A48" s="62"/>
      <c r="B48" s="92" t="s">
        <v>255</v>
      </c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2"/>
      <c r="S48" s="54" t="s">
        <v>6</v>
      </c>
      <c r="U48" s="88" t="s">
        <v>256</v>
      </c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2"/>
      <c r="AL48" s="51" t="s">
        <v>6</v>
      </c>
      <c r="AM48" s="61"/>
    </row>
    <row r="49" ht="15.75" customHeight="1">
      <c r="A49" s="62"/>
      <c r="B49" s="92" t="s">
        <v>257</v>
      </c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2"/>
      <c r="S49" s="54" t="s">
        <v>6</v>
      </c>
      <c r="U49" s="88" t="s">
        <v>258</v>
      </c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2"/>
      <c r="AL49" s="51" t="s">
        <v>6</v>
      </c>
      <c r="AM49" s="61"/>
    </row>
    <row r="50" ht="15.75" customHeight="1">
      <c r="A50" s="62"/>
      <c r="B50" s="92" t="s">
        <v>259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2"/>
      <c r="S50" s="54" t="s">
        <v>6</v>
      </c>
      <c r="U50" s="88" t="s">
        <v>260</v>
      </c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2"/>
      <c r="AL50" s="51" t="s">
        <v>6</v>
      </c>
      <c r="AM50" s="61"/>
    </row>
    <row r="51" ht="15.75" customHeight="1">
      <c r="A51" s="62"/>
      <c r="B51" s="92" t="s">
        <v>261</v>
      </c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2"/>
      <c r="S51" s="54" t="s">
        <v>6</v>
      </c>
      <c r="U51" s="88" t="s">
        <v>262</v>
      </c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2"/>
      <c r="AL51" s="51" t="s">
        <v>6</v>
      </c>
      <c r="AM51" s="61"/>
    </row>
    <row r="52" ht="15.75" customHeight="1">
      <c r="A52" s="62"/>
      <c r="B52" s="92" t="s">
        <v>263</v>
      </c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2"/>
      <c r="S52" s="54" t="s">
        <v>6</v>
      </c>
      <c r="U52" s="88" t="s">
        <v>264</v>
      </c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2"/>
      <c r="AL52" s="51" t="s">
        <v>6</v>
      </c>
      <c r="AM52" s="61"/>
    </row>
    <row r="53" ht="15.75" customHeight="1">
      <c r="A53" s="62"/>
      <c r="B53" s="92" t="s">
        <v>265</v>
      </c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2"/>
      <c r="S53" s="54" t="s">
        <v>6</v>
      </c>
      <c r="U53" s="88" t="s">
        <v>266</v>
      </c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2"/>
      <c r="AL53" s="51" t="s">
        <v>6</v>
      </c>
      <c r="AM53" s="61"/>
    </row>
    <row r="54" ht="15.75" customHeight="1">
      <c r="A54" s="62"/>
      <c r="B54" s="92" t="s">
        <v>267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2"/>
      <c r="S54" s="54" t="s">
        <v>6</v>
      </c>
      <c r="AM54" s="61"/>
    </row>
    <row r="55" ht="15.75" customHeight="1">
      <c r="A55" s="62"/>
      <c r="B55" s="92" t="s">
        <v>268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2"/>
      <c r="S55" s="54" t="s">
        <v>6</v>
      </c>
      <c r="U55" s="71" t="s">
        <v>269</v>
      </c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9"/>
      <c r="AM55" s="61"/>
    </row>
    <row r="56" ht="15.75" customHeight="1">
      <c r="A56" s="62"/>
      <c r="U56" s="44" t="s">
        <v>15</v>
      </c>
      <c r="V56" s="11"/>
      <c r="W56" s="11"/>
      <c r="X56" s="11"/>
      <c r="Y56" s="11"/>
      <c r="Z56" s="11"/>
      <c r="AA56" s="11"/>
      <c r="AB56" s="11"/>
      <c r="AC56" s="12"/>
      <c r="AD56" s="44" t="s">
        <v>16</v>
      </c>
      <c r="AE56" s="11"/>
      <c r="AF56" s="12"/>
      <c r="AG56" s="44" t="s">
        <v>17</v>
      </c>
      <c r="AH56" s="11"/>
      <c r="AI56" s="11"/>
      <c r="AJ56" s="11"/>
      <c r="AK56" s="12"/>
      <c r="AL56" s="51" t="s">
        <v>6</v>
      </c>
      <c r="AM56" s="61"/>
    </row>
    <row r="57" ht="15.75" customHeight="1">
      <c r="A57" s="61"/>
      <c r="B57" s="71" t="s">
        <v>270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9"/>
      <c r="U57" s="47" t="s">
        <v>271</v>
      </c>
      <c r="V57" s="11"/>
      <c r="W57" s="11"/>
      <c r="X57" s="11"/>
      <c r="Y57" s="11"/>
      <c r="Z57" s="11"/>
      <c r="AA57" s="11"/>
      <c r="AB57" s="11"/>
      <c r="AC57" s="12"/>
      <c r="AD57" s="48" t="s">
        <v>272</v>
      </c>
      <c r="AE57" s="11"/>
      <c r="AF57" s="12"/>
      <c r="AG57" s="47"/>
      <c r="AH57" s="11"/>
      <c r="AI57" s="11"/>
      <c r="AJ57" s="11"/>
      <c r="AK57" s="53" t="s">
        <v>273</v>
      </c>
      <c r="AL57" s="51" t="s">
        <v>6</v>
      </c>
      <c r="AM57" s="61"/>
    </row>
    <row r="58" ht="15.75" customHeight="1">
      <c r="A58" s="61"/>
      <c r="B58" s="88" t="s">
        <v>51</v>
      </c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54" t="s">
        <v>6</v>
      </c>
      <c r="U58" s="88" t="s">
        <v>274</v>
      </c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51" t="s">
        <v>6</v>
      </c>
      <c r="AM58" s="61"/>
    </row>
    <row r="59" ht="15.75" customHeight="1">
      <c r="A59" s="61"/>
      <c r="B59" s="88" t="s">
        <v>275</v>
      </c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54" t="s">
        <v>6</v>
      </c>
      <c r="U59" s="88" t="s">
        <v>276</v>
      </c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51" t="s">
        <v>6</v>
      </c>
      <c r="AM59" s="61"/>
    </row>
    <row r="60" ht="15.75" customHeight="1">
      <c r="A60" s="62"/>
      <c r="B60" s="88" t="s">
        <v>277</v>
      </c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54" t="s">
        <v>6</v>
      </c>
      <c r="U60" s="88" t="s">
        <v>278</v>
      </c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51" t="s">
        <v>6</v>
      </c>
      <c r="AM60" s="61"/>
    </row>
    <row r="61" ht="15.75" customHeight="1">
      <c r="A61" s="62"/>
      <c r="B61" s="94" t="s">
        <v>279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54" t="s">
        <v>6</v>
      </c>
      <c r="AM61" s="61"/>
    </row>
    <row r="62" ht="15.75" customHeight="1">
      <c r="A62" s="62"/>
      <c r="B62" s="88" t="s">
        <v>280</v>
      </c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2"/>
      <c r="S62" s="54" t="s">
        <v>6</v>
      </c>
      <c r="AM62" s="61"/>
    </row>
    <row r="63" ht="15.75" customHeight="1">
      <c r="A63" s="62"/>
      <c r="AM63" s="61"/>
    </row>
    <row r="64" ht="15.75" customHeight="1">
      <c r="A64" s="62"/>
      <c r="AM64" s="61"/>
    </row>
    <row r="65" ht="15.75" customHeight="1">
      <c r="A65" s="62"/>
      <c r="B65" s="43" t="s">
        <v>281</v>
      </c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2"/>
      <c r="U65" s="43" t="s">
        <v>282</v>
      </c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  <c r="AM65" s="61"/>
    </row>
    <row r="66" ht="15.75" customHeight="1">
      <c r="A66" s="61"/>
      <c r="B66" s="88" t="s">
        <v>283</v>
      </c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54" t="s">
        <v>6</v>
      </c>
      <c r="T66" s="62"/>
      <c r="U66" s="44" t="s">
        <v>15</v>
      </c>
      <c r="V66" s="11"/>
      <c r="W66" s="11"/>
      <c r="X66" s="11"/>
      <c r="Y66" s="11"/>
      <c r="Z66" s="11"/>
      <c r="AA66" s="11"/>
      <c r="AB66" s="11"/>
      <c r="AC66" s="12"/>
      <c r="AD66" s="44" t="s">
        <v>16</v>
      </c>
      <c r="AE66" s="11"/>
      <c r="AF66" s="12"/>
      <c r="AG66" s="44" t="s">
        <v>17</v>
      </c>
      <c r="AH66" s="11"/>
      <c r="AI66" s="11"/>
      <c r="AJ66" s="11"/>
      <c r="AK66" s="12"/>
      <c r="AL66" s="72"/>
      <c r="AM66" s="61"/>
    </row>
    <row r="67" ht="15.75" customHeight="1">
      <c r="A67" s="62"/>
      <c r="B67" s="88" t="s">
        <v>284</v>
      </c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54" t="s">
        <v>6</v>
      </c>
      <c r="T67" s="62"/>
      <c r="U67" s="47" t="s">
        <v>285</v>
      </c>
      <c r="V67" s="11"/>
      <c r="W67" s="11"/>
      <c r="X67" s="11"/>
      <c r="Y67" s="11"/>
      <c r="Z67" s="11"/>
      <c r="AA67" s="11"/>
      <c r="AB67" s="11"/>
      <c r="AC67" s="12"/>
      <c r="AD67" s="48" t="s">
        <v>286</v>
      </c>
      <c r="AE67" s="11"/>
      <c r="AF67" s="12"/>
      <c r="AG67" s="95"/>
      <c r="AH67" s="6"/>
      <c r="AI67" s="6"/>
      <c r="AJ67" s="75" t="s">
        <v>287</v>
      </c>
      <c r="AK67" s="11"/>
      <c r="AL67" s="51" t="s">
        <v>6</v>
      </c>
      <c r="AM67" s="61"/>
    </row>
    <row r="68" ht="15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47" t="s">
        <v>288</v>
      </c>
      <c r="V68" s="11"/>
      <c r="W68" s="11"/>
      <c r="X68" s="11"/>
      <c r="Y68" s="11"/>
      <c r="Z68" s="11"/>
      <c r="AA68" s="11"/>
      <c r="AB68" s="11"/>
      <c r="AC68" s="12"/>
      <c r="AD68" s="48" t="s">
        <v>286</v>
      </c>
      <c r="AE68" s="11"/>
      <c r="AF68" s="12"/>
      <c r="AG68" s="95"/>
      <c r="AH68" s="6"/>
      <c r="AI68" s="6"/>
      <c r="AJ68" s="75" t="s">
        <v>287</v>
      </c>
      <c r="AK68" s="11"/>
      <c r="AL68" s="51" t="s">
        <v>6</v>
      </c>
      <c r="AM68" s="62"/>
    </row>
    <row r="69" ht="15.75" customHeight="1">
      <c r="A69" s="62"/>
      <c r="B69" s="62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2"/>
      <c r="U69" s="47" t="s">
        <v>289</v>
      </c>
      <c r="V69" s="11"/>
      <c r="W69" s="11"/>
      <c r="X69" s="11"/>
      <c r="Y69" s="11"/>
      <c r="Z69" s="11"/>
      <c r="AA69" s="11"/>
      <c r="AB69" s="11"/>
      <c r="AC69" s="12"/>
      <c r="AD69" s="48" t="s">
        <v>286</v>
      </c>
      <c r="AE69" s="11"/>
      <c r="AF69" s="12"/>
      <c r="AG69" s="95"/>
      <c r="AH69" s="6"/>
      <c r="AI69" s="6"/>
      <c r="AJ69" s="75" t="s">
        <v>287</v>
      </c>
      <c r="AK69" s="11"/>
      <c r="AL69" s="51" t="s">
        <v>6</v>
      </c>
      <c r="AM69" s="61"/>
    </row>
    <row r="70" ht="15.75" customHeight="1">
      <c r="A70" s="62"/>
      <c r="B70" s="62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2"/>
      <c r="U70" s="62"/>
      <c r="V70" s="62"/>
      <c r="W70" s="62" t="s">
        <v>290</v>
      </c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1"/>
    </row>
    <row r="71" ht="15.75" customHeight="1">
      <c r="A71" s="62"/>
      <c r="B71" s="96" t="s">
        <v>291</v>
      </c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  <c r="AM71" s="61"/>
    </row>
    <row r="72" ht="15.75" customHeight="1">
      <c r="A72" s="62"/>
      <c r="B72" s="97" t="s">
        <v>292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T72" s="62"/>
      <c r="U72" s="97" t="s">
        <v>293</v>
      </c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9"/>
      <c r="AM72" s="61"/>
    </row>
    <row r="73" ht="15.75" customHeight="1">
      <c r="A73" s="62"/>
      <c r="B73" s="27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28"/>
      <c r="T73" s="61"/>
      <c r="U73" s="27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28"/>
      <c r="AM73" s="61"/>
    </row>
    <row r="74" ht="15.75" customHeight="1">
      <c r="A74" s="62"/>
      <c r="B74" s="44" t="s">
        <v>294</v>
      </c>
      <c r="C74" s="11"/>
      <c r="D74" s="11"/>
      <c r="E74" s="12"/>
      <c r="F74" s="44" t="s">
        <v>238</v>
      </c>
      <c r="G74" s="11"/>
      <c r="H74" s="11"/>
      <c r="I74" s="12"/>
      <c r="J74" s="44" t="s">
        <v>295</v>
      </c>
      <c r="K74" s="11"/>
      <c r="L74" s="11"/>
      <c r="M74" s="12"/>
      <c r="N74" s="44" t="s">
        <v>296</v>
      </c>
      <c r="O74" s="11"/>
      <c r="P74" s="11"/>
      <c r="Q74" s="11"/>
      <c r="R74" s="12"/>
      <c r="S74" s="72"/>
      <c r="T74" s="61"/>
      <c r="U74" s="44" t="s">
        <v>294</v>
      </c>
      <c r="V74" s="11"/>
      <c r="W74" s="11"/>
      <c r="X74" s="12"/>
      <c r="Y74" s="44" t="s">
        <v>238</v>
      </c>
      <c r="Z74" s="11"/>
      <c r="AA74" s="11"/>
      <c r="AB74" s="12"/>
      <c r="AC74" s="44" t="s">
        <v>295</v>
      </c>
      <c r="AD74" s="11"/>
      <c r="AE74" s="11"/>
      <c r="AF74" s="12"/>
      <c r="AG74" s="44" t="s">
        <v>296</v>
      </c>
      <c r="AH74" s="11"/>
      <c r="AI74" s="11"/>
      <c r="AJ74" s="11"/>
      <c r="AK74" s="12"/>
      <c r="AL74" s="72"/>
      <c r="AM74" s="61"/>
    </row>
    <row r="75" ht="15.75" customHeight="1">
      <c r="A75" s="61"/>
      <c r="B75" s="44" t="s">
        <v>297</v>
      </c>
      <c r="C75" s="11"/>
      <c r="D75" s="11"/>
      <c r="E75" s="12"/>
      <c r="F75" s="47"/>
      <c r="G75" s="11"/>
      <c r="H75" s="11"/>
      <c r="I75" s="93" t="s">
        <v>298</v>
      </c>
      <c r="J75" s="47"/>
      <c r="K75" s="11"/>
      <c r="L75" s="11"/>
      <c r="M75" s="93" t="s">
        <v>298</v>
      </c>
      <c r="N75" s="48" t="s">
        <v>299</v>
      </c>
      <c r="O75" s="11"/>
      <c r="P75" s="11"/>
      <c r="Q75" s="11"/>
      <c r="R75" s="93" t="s">
        <v>298</v>
      </c>
      <c r="S75" s="51" t="s">
        <v>6</v>
      </c>
      <c r="T75" s="61"/>
      <c r="U75" s="44" t="s">
        <v>300</v>
      </c>
      <c r="V75" s="11"/>
      <c r="W75" s="11"/>
      <c r="X75" s="12"/>
      <c r="Y75" s="47"/>
      <c r="Z75" s="11"/>
      <c r="AA75" s="11"/>
      <c r="AB75" s="93" t="s">
        <v>301</v>
      </c>
      <c r="AC75" s="47"/>
      <c r="AD75" s="11"/>
      <c r="AE75" s="11"/>
      <c r="AF75" s="93" t="s">
        <v>301</v>
      </c>
      <c r="AG75" s="48" t="s">
        <v>302</v>
      </c>
      <c r="AH75" s="11"/>
      <c r="AI75" s="11"/>
      <c r="AJ75" s="11"/>
      <c r="AK75" s="93" t="s">
        <v>301</v>
      </c>
      <c r="AL75" s="51" t="s">
        <v>6</v>
      </c>
      <c r="AM75" s="61"/>
    </row>
    <row r="76" ht="15.75" customHeight="1">
      <c r="A76" s="61"/>
      <c r="B76" s="44" t="s">
        <v>303</v>
      </c>
      <c r="C76" s="11"/>
      <c r="D76" s="11"/>
      <c r="E76" s="12"/>
      <c r="F76" s="47"/>
      <c r="G76" s="11"/>
      <c r="H76" s="11"/>
      <c r="I76" s="93" t="s">
        <v>298</v>
      </c>
      <c r="J76" s="47"/>
      <c r="K76" s="11"/>
      <c r="L76" s="11"/>
      <c r="M76" s="93" t="s">
        <v>298</v>
      </c>
      <c r="N76" s="48" t="s">
        <v>304</v>
      </c>
      <c r="O76" s="11"/>
      <c r="P76" s="11"/>
      <c r="Q76" s="11"/>
      <c r="R76" s="93" t="s">
        <v>298</v>
      </c>
      <c r="S76" s="51" t="s">
        <v>6</v>
      </c>
      <c r="T76" s="61"/>
      <c r="U76" s="44" t="s">
        <v>305</v>
      </c>
      <c r="V76" s="11"/>
      <c r="W76" s="11"/>
      <c r="X76" s="12"/>
      <c r="Y76" s="47"/>
      <c r="Z76" s="11"/>
      <c r="AA76" s="11"/>
      <c r="AB76" s="93" t="s">
        <v>301</v>
      </c>
      <c r="AC76" s="47"/>
      <c r="AD76" s="11"/>
      <c r="AE76" s="11"/>
      <c r="AF76" s="93" t="s">
        <v>301</v>
      </c>
      <c r="AG76" s="48" t="s">
        <v>306</v>
      </c>
      <c r="AH76" s="11"/>
      <c r="AI76" s="11"/>
      <c r="AJ76" s="11"/>
      <c r="AK76" s="93" t="s">
        <v>301</v>
      </c>
      <c r="AL76" s="51" t="s">
        <v>6</v>
      </c>
      <c r="AM76" s="61"/>
    </row>
    <row r="77" ht="15.75" customHeight="1">
      <c r="A77" s="61"/>
      <c r="B77" s="44" t="s">
        <v>307</v>
      </c>
      <c r="C77" s="11"/>
      <c r="D77" s="11"/>
      <c r="E77" s="12"/>
      <c r="F77" s="47"/>
      <c r="G77" s="11"/>
      <c r="H77" s="11"/>
      <c r="I77" s="93" t="s">
        <v>298</v>
      </c>
      <c r="J77" s="47"/>
      <c r="K77" s="11"/>
      <c r="L77" s="11"/>
      <c r="M77" s="93" t="s">
        <v>298</v>
      </c>
      <c r="N77" s="48" t="s">
        <v>308</v>
      </c>
      <c r="O77" s="11"/>
      <c r="P77" s="11"/>
      <c r="Q77" s="11"/>
      <c r="R77" s="93" t="s">
        <v>298</v>
      </c>
      <c r="S77" s="51" t="s">
        <v>6</v>
      </c>
      <c r="T77" s="61"/>
      <c r="U77" s="44" t="s">
        <v>309</v>
      </c>
      <c r="V77" s="11"/>
      <c r="W77" s="11"/>
      <c r="X77" s="12"/>
      <c r="Y77" s="47"/>
      <c r="Z77" s="11"/>
      <c r="AA77" s="11"/>
      <c r="AB77" s="93" t="s">
        <v>301</v>
      </c>
      <c r="AC77" s="47"/>
      <c r="AD77" s="11"/>
      <c r="AE77" s="11"/>
      <c r="AF77" s="93" t="s">
        <v>301</v>
      </c>
      <c r="AG77" s="48" t="s">
        <v>310</v>
      </c>
      <c r="AH77" s="11"/>
      <c r="AI77" s="11"/>
      <c r="AJ77" s="11"/>
      <c r="AK77" s="93" t="s">
        <v>301</v>
      </c>
      <c r="AL77" s="51" t="s">
        <v>6</v>
      </c>
      <c r="AM77" s="61"/>
    </row>
    <row r="78" ht="15.75" customHeight="1">
      <c r="A78" s="62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</row>
    <row r="79" ht="15.75" customHeight="1">
      <c r="A79" s="62"/>
      <c r="B79" s="97" t="s">
        <v>311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9"/>
      <c r="T79" s="62"/>
      <c r="U79" s="97" t="s">
        <v>312</v>
      </c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9"/>
      <c r="AM79" s="61"/>
    </row>
    <row r="80" ht="15.75" customHeight="1">
      <c r="A80" s="62"/>
      <c r="B80" s="27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28"/>
      <c r="T80" s="61"/>
      <c r="U80" s="27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28"/>
      <c r="AM80" s="61"/>
    </row>
    <row r="81" ht="15.75" customHeight="1">
      <c r="A81" s="62"/>
      <c r="B81" s="44" t="s">
        <v>294</v>
      </c>
      <c r="C81" s="11"/>
      <c r="D81" s="11"/>
      <c r="E81" s="12"/>
      <c r="F81" s="44" t="s">
        <v>313</v>
      </c>
      <c r="G81" s="11"/>
      <c r="H81" s="11"/>
      <c r="I81" s="12"/>
      <c r="J81" s="44" t="s">
        <v>295</v>
      </c>
      <c r="K81" s="11"/>
      <c r="L81" s="11"/>
      <c r="M81" s="12"/>
      <c r="N81" s="44" t="s">
        <v>296</v>
      </c>
      <c r="O81" s="11"/>
      <c r="P81" s="11"/>
      <c r="Q81" s="11"/>
      <c r="R81" s="12"/>
      <c r="S81" s="72"/>
      <c r="T81" s="61"/>
      <c r="U81" s="44" t="s">
        <v>294</v>
      </c>
      <c r="V81" s="11"/>
      <c r="W81" s="11"/>
      <c r="X81" s="12"/>
      <c r="Y81" s="44" t="s">
        <v>238</v>
      </c>
      <c r="Z81" s="11"/>
      <c r="AA81" s="11"/>
      <c r="AB81" s="12"/>
      <c r="AC81" s="44" t="s">
        <v>295</v>
      </c>
      <c r="AD81" s="11"/>
      <c r="AE81" s="11"/>
      <c r="AF81" s="12"/>
      <c r="AG81" s="44" t="s">
        <v>296</v>
      </c>
      <c r="AH81" s="11"/>
      <c r="AI81" s="11"/>
      <c r="AJ81" s="11"/>
      <c r="AK81" s="12"/>
      <c r="AL81" s="72"/>
      <c r="AM81" s="61"/>
    </row>
    <row r="82" ht="15.75" customHeight="1">
      <c r="A82" s="62"/>
      <c r="B82" s="44" t="s">
        <v>314</v>
      </c>
      <c r="C82" s="11"/>
      <c r="D82" s="11"/>
      <c r="E82" s="12"/>
      <c r="F82" s="47">
        <v>1.66</v>
      </c>
      <c r="G82" s="11"/>
      <c r="H82" s="11"/>
      <c r="I82" s="93" t="s">
        <v>315</v>
      </c>
      <c r="J82" s="47"/>
      <c r="K82" s="11"/>
      <c r="L82" s="11"/>
      <c r="M82" s="93" t="s">
        <v>315</v>
      </c>
      <c r="N82" s="48" t="s">
        <v>316</v>
      </c>
      <c r="O82" s="11"/>
      <c r="P82" s="11"/>
      <c r="Q82" s="11"/>
      <c r="R82" s="93" t="s">
        <v>315</v>
      </c>
      <c r="S82" s="51" t="s">
        <v>6</v>
      </c>
      <c r="T82" s="61"/>
      <c r="U82" s="44" t="s">
        <v>317</v>
      </c>
      <c r="V82" s="11"/>
      <c r="W82" s="11"/>
      <c r="X82" s="12"/>
      <c r="Y82" s="47"/>
      <c r="Z82" s="11"/>
      <c r="AA82" s="11"/>
      <c r="AB82" s="93" t="s">
        <v>235</v>
      </c>
      <c r="AC82" s="47"/>
      <c r="AD82" s="11"/>
      <c r="AE82" s="11"/>
      <c r="AF82" s="93" t="s">
        <v>235</v>
      </c>
      <c r="AG82" s="48" t="s">
        <v>318</v>
      </c>
      <c r="AH82" s="11"/>
      <c r="AI82" s="11"/>
      <c r="AJ82" s="11"/>
      <c r="AK82" s="93" t="s">
        <v>235</v>
      </c>
      <c r="AL82" s="51" t="s">
        <v>6</v>
      </c>
      <c r="AM82" s="61"/>
    </row>
    <row r="83" ht="15.75" customHeight="1">
      <c r="A83" s="62"/>
      <c r="B83" s="44" t="s">
        <v>319</v>
      </c>
      <c r="C83" s="11"/>
      <c r="D83" s="11"/>
      <c r="E83" s="12"/>
      <c r="F83" s="47">
        <v>2.5</v>
      </c>
      <c r="G83" s="11"/>
      <c r="H83" s="11"/>
      <c r="I83" s="93" t="s">
        <v>315</v>
      </c>
      <c r="J83" s="47"/>
      <c r="K83" s="11"/>
      <c r="L83" s="11"/>
      <c r="M83" s="93" t="s">
        <v>315</v>
      </c>
      <c r="N83" s="48" t="s">
        <v>320</v>
      </c>
      <c r="O83" s="11"/>
      <c r="P83" s="11"/>
      <c r="Q83" s="11"/>
      <c r="R83" s="93" t="s">
        <v>315</v>
      </c>
      <c r="S83" s="51" t="s">
        <v>6</v>
      </c>
      <c r="T83" s="61"/>
      <c r="U83" s="44" t="s">
        <v>321</v>
      </c>
      <c r="V83" s="11"/>
      <c r="W83" s="11"/>
      <c r="X83" s="12"/>
      <c r="Y83" s="47"/>
      <c r="Z83" s="11"/>
      <c r="AA83" s="11"/>
      <c r="AB83" s="93" t="s">
        <v>235</v>
      </c>
      <c r="AC83" s="47"/>
      <c r="AD83" s="11"/>
      <c r="AE83" s="11"/>
      <c r="AF83" s="93" t="s">
        <v>235</v>
      </c>
      <c r="AG83" s="48" t="s">
        <v>318</v>
      </c>
      <c r="AH83" s="11"/>
      <c r="AI83" s="11"/>
      <c r="AJ83" s="11"/>
      <c r="AK83" s="93" t="s">
        <v>235</v>
      </c>
      <c r="AL83" s="51" t="s">
        <v>6</v>
      </c>
      <c r="AM83" s="61"/>
    </row>
    <row r="84" ht="15.75" customHeight="1">
      <c r="A84" s="62"/>
      <c r="B84" s="44" t="s">
        <v>322</v>
      </c>
      <c r="C84" s="11"/>
      <c r="D84" s="11"/>
      <c r="E84" s="12"/>
      <c r="F84" s="47">
        <v>3.33</v>
      </c>
      <c r="G84" s="11"/>
      <c r="H84" s="11"/>
      <c r="I84" s="93" t="s">
        <v>315</v>
      </c>
      <c r="J84" s="47"/>
      <c r="K84" s="11"/>
      <c r="L84" s="11"/>
      <c r="M84" s="93" t="s">
        <v>315</v>
      </c>
      <c r="N84" s="48" t="s">
        <v>323</v>
      </c>
      <c r="O84" s="11"/>
      <c r="P84" s="11"/>
      <c r="Q84" s="11"/>
      <c r="R84" s="93" t="s">
        <v>315</v>
      </c>
      <c r="S84" s="51" t="s">
        <v>6</v>
      </c>
      <c r="T84" s="61"/>
      <c r="U84" s="44" t="s">
        <v>324</v>
      </c>
      <c r="V84" s="11"/>
      <c r="W84" s="11"/>
      <c r="X84" s="12"/>
      <c r="Y84" s="47"/>
      <c r="Z84" s="11"/>
      <c r="AA84" s="11"/>
      <c r="AB84" s="93" t="s">
        <v>235</v>
      </c>
      <c r="AC84" s="47"/>
      <c r="AD84" s="11"/>
      <c r="AE84" s="11"/>
      <c r="AF84" s="93" t="s">
        <v>235</v>
      </c>
      <c r="AG84" s="48" t="s">
        <v>318</v>
      </c>
      <c r="AH84" s="11"/>
      <c r="AI84" s="11"/>
      <c r="AJ84" s="11"/>
      <c r="AK84" s="93" t="s">
        <v>235</v>
      </c>
      <c r="AL84" s="51" t="s">
        <v>6</v>
      </c>
      <c r="AM84" s="61"/>
    </row>
    <row r="85" ht="15.75" customHeight="1">
      <c r="A85" s="62"/>
      <c r="B85" s="62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</row>
    <row r="86" ht="15.75" customHeight="1">
      <c r="A86" s="62"/>
      <c r="B86" s="97" t="s">
        <v>325</v>
      </c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9"/>
      <c r="T86" s="62"/>
      <c r="U86" s="97" t="s">
        <v>326</v>
      </c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9"/>
      <c r="AM86" s="61"/>
    </row>
    <row r="87" ht="15.75" customHeight="1">
      <c r="A87" s="62"/>
      <c r="B87" s="27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28"/>
      <c r="T87" s="61"/>
      <c r="U87" s="27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28"/>
      <c r="AM87" s="61"/>
    </row>
    <row r="88" ht="15.75" customHeight="1">
      <c r="A88" s="62"/>
      <c r="B88" s="44" t="s">
        <v>294</v>
      </c>
      <c r="C88" s="11"/>
      <c r="D88" s="11"/>
      <c r="E88" s="12"/>
      <c r="F88" s="44" t="s">
        <v>238</v>
      </c>
      <c r="G88" s="11"/>
      <c r="H88" s="11"/>
      <c r="I88" s="12"/>
      <c r="J88" s="44" t="s">
        <v>295</v>
      </c>
      <c r="K88" s="11"/>
      <c r="L88" s="11"/>
      <c r="M88" s="12"/>
      <c r="N88" s="44" t="s">
        <v>296</v>
      </c>
      <c r="O88" s="11"/>
      <c r="P88" s="11"/>
      <c r="Q88" s="11"/>
      <c r="R88" s="12"/>
      <c r="S88" s="72"/>
      <c r="T88" s="61"/>
      <c r="U88" s="44" t="s">
        <v>294</v>
      </c>
      <c r="V88" s="11"/>
      <c r="W88" s="11"/>
      <c r="X88" s="12"/>
      <c r="Y88" s="44" t="s">
        <v>238</v>
      </c>
      <c r="Z88" s="11"/>
      <c r="AA88" s="11"/>
      <c r="AB88" s="12"/>
      <c r="AC88" s="44" t="s">
        <v>295</v>
      </c>
      <c r="AD88" s="11"/>
      <c r="AE88" s="11"/>
      <c r="AF88" s="12"/>
      <c r="AG88" s="44" t="s">
        <v>296</v>
      </c>
      <c r="AH88" s="11"/>
      <c r="AI88" s="11"/>
      <c r="AJ88" s="11"/>
      <c r="AK88" s="12"/>
      <c r="AL88" s="72"/>
      <c r="AM88" s="61"/>
    </row>
    <row r="89" ht="15.75" customHeight="1">
      <c r="A89" s="62"/>
      <c r="B89" s="44" t="s">
        <v>327</v>
      </c>
      <c r="C89" s="11"/>
      <c r="D89" s="11"/>
      <c r="E89" s="12"/>
      <c r="F89" s="75"/>
      <c r="G89" s="11"/>
      <c r="H89" s="75" t="s">
        <v>273</v>
      </c>
      <c r="I89" s="11"/>
      <c r="J89" s="48"/>
      <c r="K89" s="11"/>
      <c r="L89" s="75" t="s">
        <v>273</v>
      </c>
      <c r="M89" s="12"/>
      <c r="N89" s="48" t="s">
        <v>328</v>
      </c>
      <c r="O89" s="11"/>
      <c r="P89" s="11"/>
      <c r="Q89" s="75" t="s">
        <v>273</v>
      </c>
      <c r="R89" s="12"/>
      <c r="S89" s="51" t="s">
        <v>6</v>
      </c>
      <c r="T89" s="61"/>
      <c r="U89" s="44" t="s">
        <v>329</v>
      </c>
      <c r="V89" s="11"/>
      <c r="W89" s="11"/>
      <c r="X89" s="12"/>
      <c r="Y89" s="75"/>
      <c r="Z89" s="11"/>
      <c r="AA89" s="75" t="s">
        <v>273</v>
      </c>
      <c r="AB89" s="11"/>
      <c r="AC89" s="48"/>
      <c r="AD89" s="11"/>
      <c r="AE89" s="75" t="s">
        <v>273</v>
      </c>
      <c r="AF89" s="12"/>
      <c r="AG89" s="48" t="s">
        <v>330</v>
      </c>
      <c r="AH89" s="11"/>
      <c r="AI89" s="11"/>
      <c r="AJ89" s="75" t="s">
        <v>273</v>
      </c>
      <c r="AK89" s="12"/>
      <c r="AL89" s="51" t="s">
        <v>6</v>
      </c>
      <c r="AM89" s="61"/>
    </row>
    <row r="90" ht="15.75" customHeight="1">
      <c r="A90" s="62"/>
      <c r="B90" s="44" t="s">
        <v>331</v>
      </c>
      <c r="C90" s="11"/>
      <c r="D90" s="11"/>
      <c r="E90" s="12"/>
      <c r="F90" s="47"/>
      <c r="G90" s="11"/>
      <c r="H90" s="75" t="s">
        <v>273</v>
      </c>
      <c r="I90" s="11"/>
      <c r="J90" s="47"/>
      <c r="K90" s="11"/>
      <c r="L90" s="75" t="s">
        <v>273</v>
      </c>
      <c r="M90" s="11"/>
      <c r="N90" s="48" t="s">
        <v>332</v>
      </c>
      <c r="O90" s="11"/>
      <c r="P90" s="11"/>
      <c r="Q90" s="75" t="s">
        <v>273</v>
      </c>
      <c r="R90" s="12"/>
      <c r="S90" s="51" t="s">
        <v>6</v>
      </c>
      <c r="T90" s="61"/>
      <c r="U90" s="44" t="s">
        <v>333</v>
      </c>
      <c r="V90" s="11"/>
      <c r="W90" s="11"/>
      <c r="X90" s="12"/>
      <c r="Y90" s="47"/>
      <c r="Z90" s="11"/>
      <c r="AA90" s="75" t="s">
        <v>273</v>
      </c>
      <c r="AB90" s="11"/>
      <c r="AC90" s="47"/>
      <c r="AD90" s="11"/>
      <c r="AE90" s="75" t="s">
        <v>273</v>
      </c>
      <c r="AF90" s="11"/>
      <c r="AG90" s="48" t="s">
        <v>334</v>
      </c>
      <c r="AH90" s="11"/>
      <c r="AI90" s="11"/>
      <c r="AJ90" s="75" t="s">
        <v>273</v>
      </c>
      <c r="AK90" s="12"/>
      <c r="AL90" s="51" t="s">
        <v>6</v>
      </c>
      <c r="AM90" s="61"/>
    </row>
    <row r="91" ht="15.75" customHeight="1">
      <c r="A91" s="61"/>
      <c r="B91" s="44" t="s">
        <v>329</v>
      </c>
      <c r="C91" s="11"/>
      <c r="D91" s="11"/>
      <c r="E91" s="12"/>
      <c r="F91" s="47"/>
      <c r="G91" s="11"/>
      <c r="H91" s="75" t="s">
        <v>273</v>
      </c>
      <c r="I91" s="11"/>
      <c r="J91" s="47"/>
      <c r="K91" s="11"/>
      <c r="L91" s="75" t="s">
        <v>273</v>
      </c>
      <c r="M91" s="11"/>
      <c r="N91" s="48" t="s">
        <v>335</v>
      </c>
      <c r="O91" s="11"/>
      <c r="P91" s="11"/>
      <c r="Q91" s="75" t="s">
        <v>273</v>
      </c>
      <c r="R91" s="12"/>
      <c r="S91" s="51" t="s">
        <v>6</v>
      </c>
      <c r="T91" s="61"/>
      <c r="U91" s="44" t="s">
        <v>336</v>
      </c>
      <c r="V91" s="11"/>
      <c r="W91" s="11"/>
      <c r="X91" s="12"/>
      <c r="Y91" s="47"/>
      <c r="Z91" s="11"/>
      <c r="AA91" s="75" t="s">
        <v>273</v>
      </c>
      <c r="AB91" s="11"/>
      <c r="AC91" s="47"/>
      <c r="AD91" s="11"/>
      <c r="AE91" s="75" t="s">
        <v>273</v>
      </c>
      <c r="AF91" s="11"/>
      <c r="AG91" s="48" t="s">
        <v>337</v>
      </c>
      <c r="AH91" s="11"/>
      <c r="AI91" s="11"/>
      <c r="AJ91" s="75" t="s">
        <v>273</v>
      </c>
      <c r="AK91" s="12"/>
      <c r="AL91" s="51" t="s">
        <v>6</v>
      </c>
      <c r="AM91" s="61"/>
    </row>
    <row r="92" ht="15.75" customHeight="1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  <c r="AL92" s="61"/>
      <c r="AM92" s="61"/>
    </row>
    <row r="93" ht="15.75" customHeight="1">
      <c r="A93" s="61"/>
      <c r="B93" s="78" t="s">
        <v>58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  <c r="AM93" s="61"/>
    </row>
    <row r="94" ht="15.75" customHeight="1">
      <c r="B94" s="44" t="s">
        <v>59</v>
      </c>
      <c r="C94" s="11"/>
      <c r="D94" s="11"/>
      <c r="E94" s="11"/>
      <c r="F94" s="11"/>
      <c r="G94" s="11"/>
      <c r="H94" s="11"/>
      <c r="I94" s="11"/>
      <c r="J94" s="11"/>
      <c r="K94" s="12"/>
      <c r="L94" s="44" t="s">
        <v>8</v>
      </c>
      <c r="M94" s="11"/>
      <c r="N94" s="11"/>
      <c r="O94" s="11"/>
      <c r="P94" s="11"/>
      <c r="Q94" s="11"/>
      <c r="R94" s="11"/>
      <c r="S94" s="12"/>
      <c r="T94" s="44" t="s">
        <v>10</v>
      </c>
      <c r="U94" s="11"/>
      <c r="V94" s="11"/>
      <c r="W94" s="11"/>
      <c r="X94" s="11"/>
      <c r="Y94" s="11"/>
      <c r="Z94" s="11"/>
      <c r="AA94" s="11"/>
      <c r="AB94" s="12"/>
      <c r="AC94" s="44" t="s">
        <v>60</v>
      </c>
      <c r="AD94" s="11"/>
      <c r="AE94" s="11"/>
      <c r="AF94" s="11"/>
      <c r="AG94" s="11"/>
      <c r="AH94" s="11"/>
      <c r="AI94" s="11"/>
      <c r="AJ94" s="11"/>
      <c r="AK94" s="11"/>
      <c r="AL94" s="12"/>
      <c r="AM94" s="61"/>
    </row>
    <row r="95" ht="15.75" customHeight="1">
      <c r="A95" s="62" t="s">
        <v>61</v>
      </c>
      <c r="B95" s="41" t="str">
        <f t="shared" ref="B95:B97" si="1">IFERROR(VLOOKUP(A95,catalogoAnalizadores!A:E,2,FALSE),"")</f>
        <v/>
      </c>
      <c r="C95" s="11"/>
      <c r="D95" s="11"/>
      <c r="E95" s="11"/>
      <c r="F95" s="11"/>
      <c r="G95" s="11"/>
      <c r="H95" s="11"/>
      <c r="I95" s="11"/>
      <c r="J95" s="11"/>
      <c r="K95" s="12"/>
      <c r="L95" s="41" t="str">
        <f t="shared" ref="L95:L97" si="2">IFERROR(VLOOKUP(A95,catalogoAnalizadores!A:E,3,FALSE),"")</f>
        <v/>
      </c>
      <c r="M95" s="11"/>
      <c r="N95" s="11"/>
      <c r="O95" s="11"/>
      <c r="P95" s="11"/>
      <c r="Q95" s="11"/>
      <c r="R95" s="11"/>
      <c r="S95" s="12"/>
      <c r="T95" s="41" t="str">
        <f t="shared" ref="T95:T97" si="3">IFERROR(VLOOKUP(A95,catalogoAnalizadores!A:E,4,FALSE),"")</f>
        <v/>
      </c>
      <c r="U95" s="11"/>
      <c r="V95" s="11"/>
      <c r="W95" s="11"/>
      <c r="X95" s="11"/>
      <c r="Y95" s="11"/>
      <c r="Z95" s="11"/>
      <c r="AA95" s="11"/>
      <c r="AB95" s="12"/>
      <c r="AC95" s="41" t="str">
        <f t="shared" ref="AC95:AC97" si="4">IFERROR(VLOOKUP(A95,catalogoAnalizadores!A:E,5,FALSE),"")</f>
        <v/>
      </c>
      <c r="AD95" s="11"/>
      <c r="AE95" s="11"/>
      <c r="AF95" s="11"/>
      <c r="AG95" s="11"/>
      <c r="AH95" s="11"/>
      <c r="AI95" s="11"/>
      <c r="AJ95" s="11"/>
      <c r="AK95" s="11"/>
      <c r="AL95" s="12"/>
      <c r="AM95" s="61"/>
    </row>
    <row r="96" ht="15.75" customHeight="1">
      <c r="A96" s="62" t="s">
        <v>61</v>
      </c>
      <c r="B96" s="41" t="str">
        <f t="shared" si="1"/>
        <v/>
      </c>
      <c r="C96" s="11"/>
      <c r="D96" s="11"/>
      <c r="E96" s="11"/>
      <c r="F96" s="11"/>
      <c r="G96" s="11"/>
      <c r="H96" s="11"/>
      <c r="I96" s="11"/>
      <c r="J96" s="11"/>
      <c r="K96" s="12"/>
      <c r="L96" s="41" t="str">
        <f t="shared" si="2"/>
        <v/>
      </c>
      <c r="M96" s="11"/>
      <c r="N96" s="11"/>
      <c r="O96" s="11"/>
      <c r="P96" s="11"/>
      <c r="Q96" s="11"/>
      <c r="R96" s="11"/>
      <c r="S96" s="12"/>
      <c r="T96" s="41" t="str">
        <f t="shared" si="3"/>
        <v/>
      </c>
      <c r="U96" s="11"/>
      <c r="V96" s="11"/>
      <c r="W96" s="11"/>
      <c r="X96" s="11"/>
      <c r="Y96" s="11"/>
      <c r="Z96" s="11"/>
      <c r="AA96" s="11"/>
      <c r="AB96" s="12"/>
      <c r="AC96" s="41" t="str">
        <f t="shared" si="4"/>
        <v/>
      </c>
      <c r="AD96" s="11"/>
      <c r="AE96" s="11"/>
      <c r="AF96" s="11"/>
      <c r="AG96" s="11"/>
      <c r="AH96" s="11"/>
      <c r="AI96" s="11"/>
      <c r="AJ96" s="11"/>
      <c r="AK96" s="11"/>
      <c r="AL96" s="12"/>
      <c r="AM96" s="61"/>
    </row>
    <row r="97" ht="15.75" customHeight="1">
      <c r="A97" s="62" t="s">
        <v>61</v>
      </c>
      <c r="B97" s="41" t="str">
        <f t="shared" si="1"/>
        <v/>
      </c>
      <c r="C97" s="11"/>
      <c r="D97" s="11"/>
      <c r="E97" s="11"/>
      <c r="F97" s="11"/>
      <c r="G97" s="11"/>
      <c r="H97" s="11"/>
      <c r="I97" s="11"/>
      <c r="J97" s="11"/>
      <c r="K97" s="12"/>
      <c r="L97" s="41" t="str">
        <f t="shared" si="2"/>
        <v/>
      </c>
      <c r="M97" s="11"/>
      <c r="N97" s="11"/>
      <c r="O97" s="11"/>
      <c r="P97" s="11"/>
      <c r="Q97" s="11"/>
      <c r="R97" s="11"/>
      <c r="S97" s="12"/>
      <c r="T97" s="41" t="str">
        <f t="shared" si="3"/>
        <v/>
      </c>
      <c r="U97" s="11"/>
      <c r="V97" s="11"/>
      <c r="W97" s="11"/>
      <c r="X97" s="11"/>
      <c r="Y97" s="11"/>
      <c r="Z97" s="11"/>
      <c r="AA97" s="11"/>
      <c r="AB97" s="12"/>
      <c r="AC97" s="41" t="str">
        <f t="shared" si="4"/>
        <v/>
      </c>
      <c r="AD97" s="11"/>
      <c r="AE97" s="11"/>
      <c r="AF97" s="11"/>
      <c r="AG97" s="11"/>
      <c r="AH97" s="11"/>
      <c r="AI97" s="11"/>
      <c r="AJ97" s="11"/>
      <c r="AK97" s="11"/>
      <c r="AL97" s="12"/>
      <c r="AM97" s="61"/>
    </row>
    <row r="98" ht="15.75" customHeight="1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  <c r="AL98" s="61"/>
      <c r="AM98" s="61"/>
    </row>
    <row r="99" ht="15.75" customHeight="1">
      <c r="A99" s="61"/>
      <c r="B99" s="78" t="s">
        <v>62</v>
      </c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  <c r="AM99" s="61"/>
    </row>
    <row r="100" ht="15.75" customHeight="1">
      <c r="A100" s="61"/>
      <c r="B100" s="47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  <c r="AM100" s="61"/>
    </row>
    <row r="101" ht="15.75" customHeight="1">
      <c r="A101" s="61"/>
      <c r="B101" s="47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  <c r="AM101" s="61"/>
    </row>
    <row r="102" ht="15.75" customHeight="1">
      <c r="A102" s="61"/>
      <c r="B102" s="47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  <c r="AM102" s="61"/>
    </row>
    <row r="103" ht="15.75" customHeight="1">
      <c r="A103" s="61"/>
      <c r="B103" s="47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  <c r="AM103" s="61"/>
    </row>
    <row r="104" ht="15.75" customHeight="1">
      <c r="A104" s="61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1"/>
    </row>
    <row r="105" ht="15.75" customHeight="1">
      <c r="A105" s="61"/>
      <c r="B105" s="62"/>
      <c r="M105" s="61"/>
      <c r="N105" s="61"/>
      <c r="O105" s="61"/>
      <c r="P105" s="61"/>
      <c r="AA105" s="61"/>
      <c r="AB105" s="61"/>
      <c r="AC105" s="62"/>
      <c r="AM105" s="61"/>
    </row>
    <row r="106" ht="15.75" customHeight="1">
      <c r="A106" s="61"/>
      <c r="B106" s="79" t="s">
        <v>63</v>
      </c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61"/>
      <c r="N106" s="61"/>
      <c r="O106" s="61"/>
      <c r="P106" s="61"/>
      <c r="Q106" s="79" t="s">
        <v>64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61"/>
      <c r="AB106" s="61"/>
      <c r="AC106" s="79" t="s">
        <v>65</v>
      </c>
      <c r="AD106" s="18"/>
      <c r="AE106" s="18"/>
      <c r="AF106" s="18"/>
      <c r="AG106" s="18"/>
      <c r="AH106" s="18"/>
      <c r="AI106" s="18"/>
      <c r="AJ106" s="18"/>
      <c r="AK106" s="18"/>
      <c r="AL106" s="18"/>
      <c r="AM106" s="61"/>
    </row>
    <row r="107" ht="15.75" customHeight="1">
      <c r="A107" s="62"/>
      <c r="B107" s="62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ht="15.75" customHeight="1">
      <c r="A108" s="62"/>
      <c r="B108" s="62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62"/>
      <c r="B109" s="62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62"/>
      <c r="B110" s="62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62"/>
      <c r="B111" s="62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62"/>
      <c r="B112" s="62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61"/>
      <c r="B114" s="61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61"/>
      <c r="B115" s="61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61"/>
      <c r="B116" s="61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61"/>
      <c r="B117" s="61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</row>
    <row r="124" ht="15.75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</row>
    <row r="125" ht="15.75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</row>
    <row r="126" ht="15.75" customHeight="1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</row>
    <row r="127" ht="15.75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</row>
    <row r="128" ht="15.75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</row>
    <row r="129" ht="15.75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</row>
    <row r="130" ht="15.75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</row>
    <row r="131" ht="15.75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</row>
    <row r="132" ht="15.75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</row>
    <row r="133" ht="15.75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</row>
    <row r="134" ht="15.75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</row>
    <row r="135" ht="15.75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</row>
    <row r="136" ht="15.75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</row>
    <row r="137" ht="15.75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</row>
    <row r="138" ht="15.75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</row>
    <row r="139" ht="15.75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</row>
    <row r="140" ht="15.75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</row>
    <row r="141" ht="15.75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  <c r="AM141" s="61"/>
    </row>
    <row r="142" ht="15.75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</row>
    <row r="143" ht="15.75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</row>
    <row r="144" ht="15.75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</row>
    <row r="145" ht="15.75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</row>
    <row r="146" ht="15.75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</row>
    <row r="147" ht="15.75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</row>
    <row r="148" ht="15.75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</row>
    <row r="149" ht="15.75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</row>
    <row r="150" ht="15.75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</row>
    <row r="151" ht="15.75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</row>
    <row r="152" ht="15.75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</row>
    <row r="153" ht="15.75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</row>
    <row r="154" ht="15.75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</row>
    <row r="155" ht="15.75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</row>
    <row r="156" ht="15.75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  <c r="AM156" s="61"/>
    </row>
    <row r="157" ht="15.75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</row>
    <row r="158" ht="15.75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  <c r="AM158" s="61"/>
    </row>
    <row r="159" ht="15.75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</row>
    <row r="160" ht="15.75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</row>
    <row r="161" ht="15.75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</row>
    <row r="162" ht="15.75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  <c r="AM162" s="61"/>
    </row>
    <row r="163" ht="15.75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</row>
    <row r="164" ht="15.75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  <c r="AM164" s="61"/>
    </row>
    <row r="165" ht="15.75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</row>
    <row r="166" ht="15.75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  <c r="AM166" s="61"/>
    </row>
    <row r="167" ht="15.75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</row>
    <row r="168" ht="15.75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  <c r="AM168" s="61"/>
    </row>
    <row r="169" ht="15.75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</row>
    <row r="170" ht="15.75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</row>
    <row r="171" ht="15.75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</row>
    <row r="172" ht="15.75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</row>
    <row r="173" ht="15.75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</row>
    <row r="174" ht="15.75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</row>
    <row r="175" ht="15.75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</row>
    <row r="176" ht="15.75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</row>
    <row r="177" ht="15.75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</row>
    <row r="178" ht="15.75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</row>
    <row r="179" ht="15.75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</row>
    <row r="180" ht="15.75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</row>
    <row r="181" ht="15.75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</row>
    <row r="182" ht="15.75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</row>
    <row r="183" ht="15.75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</row>
    <row r="184" ht="15.75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</row>
    <row r="185" ht="15.75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</row>
    <row r="186" ht="15.75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</row>
    <row r="187" ht="15.75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</row>
    <row r="188" ht="15.75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</row>
    <row r="189" ht="15.75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</row>
    <row r="190" ht="15.75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</row>
    <row r="191" ht="15.75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</row>
    <row r="192" ht="15.75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</row>
    <row r="193" ht="15.75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</row>
    <row r="194" ht="15.75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</row>
    <row r="195" ht="15.7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</row>
    <row r="196" ht="15.75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</row>
    <row r="197" ht="15.75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</row>
    <row r="198" ht="15.75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  <c r="AM198" s="61"/>
    </row>
    <row r="199" ht="15.75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</row>
    <row r="200" ht="15.75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</row>
    <row r="201" ht="15.75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</row>
    <row r="202" ht="15.75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</row>
    <row r="203" ht="15.75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</row>
    <row r="204" ht="15.75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</row>
    <row r="205" ht="15.75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</row>
    <row r="206" ht="15.75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</row>
    <row r="207" ht="15.75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</row>
    <row r="208" ht="15.75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  <c r="AM208" s="61"/>
    </row>
    <row r="209" ht="15.75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</row>
    <row r="210" ht="15.75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</row>
    <row r="211" ht="15.75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</row>
    <row r="212" ht="15.75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</row>
    <row r="213" ht="15.75" customHeight="1">
      <c r="AM213" s="61"/>
    </row>
    <row r="214" ht="15.75" customHeight="1">
      <c r="AM214" s="61"/>
    </row>
    <row r="215" ht="15.75" customHeight="1">
      <c r="AM215" s="61"/>
    </row>
    <row r="216" ht="15.75" customHeight="1">
      <c r="AM216" s="61"/>
    </row>
    <row r="217" ht="15.75" customHeight="1">
      <c r="AM217" s="61"/>
    </row>
    <row r="218" ht="15.75" customHeight="1">
      <c r="AM218" s="61"/>
    </row>
    <row r="219" ht="15.75" customHeight="1">
      <c r="AM219" s="61"/>
    </row>
    <row r="220" ht="15.75" customHeight="1">
      <c r="AM220" s="61"/>
    </row>
    <row r="221" ht="15.75" customHeight="1">
      <c r="AM221" s="61"/>
    </row>
    <row r="222" ht="15.75" customHeight="1">
      <c r="AM222" s="61"/>
    </row>
    <row r="223" ht="15.75" customHeight="1">
      <c r="AM223" s="61"/>
    </row>
    <row r="224" ht="15.75" customHeight="1">
      <c r="AM224" s="61"/>
    </row>
    <row r="225" ht="15.75" customHeight="1">
      <c r="AM225" s="61"/>
    </row>
    <row r="226" ht="15.75" customHeight="1">
      <c r="AM226" s="61"/>
    </row>
    <row r="227" ht="15.75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</row>
    <row r="228" ht="15.75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</row>
    <row r="229" ht="15.75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</row>
    <row r="230" ht="15.75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</row>
    <row r="235" ht="15.75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</row>
    <row r="236" ht="15.75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</row>
    <row r="237" ht="15.75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</row>
    <row r="238" ht="15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</row>
    <row r="239" ht="15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</row>
    <row r="240" ht="15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</row>
    <row r="241" ht="15.75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</row>
    <row r="242" ht="15.75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</row>
    <row r="243" ht="15.75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</row>
    <row r="244" ht="15.75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</row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3"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Y81:AB81"/>
    <mergeCell ref="AC81:AF81"/>
    <mergeCell ref="B79:S80"/>
    <mergeCell ref="U79:AL80"/>
    <mergeCell ref="F81:I81"/>
    <mergeCell ref="J81:M81"/>
    <mergeCell ref="N81:R81"/>
    <mergeCell ref="U81:X81"/>
    <mergeCell ref="AG81:AK81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J88:M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N17:R17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U31:AB31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U50:AK50"/>
    <mergeCell ref="U51:AK51"/>
    <mergeCell ref="U52:AK52"/>
    <mergeCell ref="B48:R48"/>
    <mergeCell ref="B49:R49"/>
    <mergeCell ref="B50:R50"/>
    <mergeCell ref="B51:R51"/>
    <mergeCell ref="B52:R52"/>
    <mergeCell ref="B53:R53"/>
    <mergeCell ref="B54:R54"/>
    <mergeCell ref="B55:R55"/>
    <mergeCell ref="B57:S57"/>
    <mergeCell ref="B58:R58"/>
    <mergeCell ref="B59:R59"/>
    <mergeCell ref="B60:R60"/>
    <mergeCell ref="B61:R61"/>
    <mergeCell ref="B62:R62"/>
    <mergeCell ref="B17:J17"/>
    <mergeCell ref="B18:J18"/>
    <mergeCell ref="K18:M18"/>
    <mergeCell ref="N18:Q18"/>
    <mergeCell ref="B19:J19"/>
    <mergeCell ref="K19:M19"/>
    <mergeCell ref="N19:Q19"/>
    <mergeCell ref="B20:J20"/>
    <mergeCell ref="K20:M20"/>
    <mergeCell ref="N20:Q20"/>
    <mergeCell ref="B21:J21"/>
    <mergeCell ref="K21:M21"/>
    <mergeCell ref="N21:Q21"/>
    <mergeCell ref="B23:S23"/>
    <mergeCell ref="B27:S27"/>
    <mergeCell ref="B28:J28"/>
    <mergeCell ref="K28:M28"/>
    <mergeCell ref="N28:R28"/>
    <mergeCell ref="B29:J29"/>
    <mergeCell ref="K29:M29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B44:R44"/>
    <mergeCell ref="B45:R45"/>
    <mergeCell ref="B46:R46"/>
    <mergeCell ref="B47:R47"/>
    <mergeCell ref="B65:S65"/>
    <mergeCell ref="B66:R66"/>
    <mergeCell ref="B67:R67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  <mergeCell ref="U53:AK53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AC77:AE77"/>
    <mergeCell ref="AG77:AJ77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</mergeCells>
  <dataValidations>
    <dataValidation type="list" allowBlank="1" showErrorMessage="1" sqref="AL10 AL17:AL19 S18:S21 S25 AL23:AL25 S29:S31 AL29:AL31 AL35:AL37 AL40:AL44 AL47:AL53 S34:S55 AL56:AL60 S58:S62 S66:S67 AL67:AL69 S75:S77 AL75:AL77 S82:S84 AL82:AL84 S89:S91 AL89:AL91">
      <formula1>"✓,✖,N/A"</formula1>
    </dataValidation>
    <dataValidation type="list" allowBlank="1" sqref="A95:A97">
      <formula1>catalogoAnalizadores!$A$2:$A1006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0"/>
    <col customWidth="1" min="2" max="8" width="3.29"/>
    <col customWidth="1" min="9" max="9" width="4.57"/>
    <col customWidth="1" min="10" max="12" width="3.29"/>
    <col customWidth="1" min="13" max="13" width="5.71"/>
    <col customWidth="1" min="14" max="17" width="3.29"/>
    <col customWidth="1" min="18" max="18" width="3.86"/>
    <col customWidth="1" min="19" max="19" width="9.29"/>
    <col customWidth="1" min="20" max="20" width="2.71"/>
    <col customWidth="1" min="21" max="23" width="4.0"/>
    <col customWidth="1" min="24" max="24" width="4.43"/>
    <col customWidth="1" min="25" max="27" width="4.0"/>
    <col customWidth="1" min="28" max="28" width="4.71"/>
    <col customWidth="1" min="29" max="31" width="4.0"/>
    <col customWidth="1" min="32" max="32" width="6.0"/>
    <col customWidth="1" min="33" max="34" width="4.0"/>
    <col customWidth="1" min="35" max="35" width="3.86"/>
    <col customWidth="1" min="36" max="36" width="3.29"/>
    <col customWidth="1" min="37" max="37" width="5.71"/>
    <col customWidth="1" min="38" max="38" width="9.29"/>
    <col customWidth="1" min="39" max="39" width="5.0"/>
  </cols>
  <sheetData>
    <row r="1" ht="15.0" customHeight="1">
      <c r="A1" s="61" t="s">
        <v>192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</row>
    <row r="2" ht="15.0" customHeight="1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</row>
    <row r="3" ht="15.0" customHeight="1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</row>
    <row r="4" ht="15.0" customHeight="1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</row>
    <row r="5" ht="15.0" customHeight="1">
      <c r="A5" s="61"/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</row>
    <row r="6" ht="15.0" customHeight="1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</row>
    <row r="7" ht="15.0" customHeight="1">
      <c r="A7" s="61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1"/>
    </row>
    <row r="8" ht="22.5" customHeight="1">
      <c r="A8" s="9"/>
      <c r="B8" s="9"/>
      <c r="C8" s="86" t="s">
        <v>338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4" t="s">
        <v>1</v>
      </c>
      <c r="AE8" s="87"/>
      <c r="AF8" s="6"/>
      <c r="AG8" s="6"/>
      <c r="AH8" s="6"/>
      <c r="AI8" s="6"/>
      <c r="AJ8" s="6"/>
      <c r="AK8" s="6"/>
      <c r="AL8" s="6"/>
      <c r="AM8" s="9"/>
    </row>
    <row r="9" ht="15.0" customHeight="1">
      <c r="A9" s="61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2"/>
    </row>
    <row r="10" ht="15.0" customHeight="1">
      <c r="A10" s="61"/>
      <c r="B10" s="66" t="s">
        <v>2</v>
      </c>
      <c r="D10" s="67" t="str">
        <f> TEXT(DATE(YEAR(TODAY()), MONTH(TODAY()), 25), "dd/mmm/yyyy")</f>
        <v>25/jul/2026</v>
      </c>
      <c r="I10" s="61"/>
      <c r="J10" s="61"/>
      <c r="K10" s="61"/>
      <c r="L10" s="61"/>
      <c r="M10" s="61"/>
      <c r="N10" s="61"/>
      <c r="O10" s="61"/>
      <c r="P10" s="62"/>
      <c r="Q10" s="62"/>
      <c r="R10" s="62"/>
      <c r="S10" s="64" t="s">
        <v>3</v>
      </c>
      <c r="X10" s="61" t="s">
        <v>4</v>
      </c>
      <c r="AA10" s="61"/>
      <c r="AB10" s="61"/>
      <c r="AC10" s="61"/>
      <c r="AD10" s="61"/>
      <c r="AE10" s="61"/>
      <c r="AF10" s="61"/>
      <c r="AG10" s="62"/>
      <c r="AH10" s="68" t="s">
        <v>5</v>
      </c>
      <c r="AI10" s="11"/>
      <c r="AJ10" s="11"/>
      <c r="AK10" s="12"/>
      <c r="AL10" s="51" t="s">
        <v>6</v>
      </c>
      <c r="AM10" s="61"/>
    </row>
    <row r="11" ht="15.0" customHeight="1">
      <c r="A11" s="61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</row>
    <row r="12" ht="15.0" customHeight="1">
      <c r="A12" s="61"/>
      <c r="B12" s="70" t="s">
        <v>7</v>
      </c>
      <c r="C12" s="11"/>
      <c r="D12" s="11"/>
      <c r="E12" s="11"/>
      <c r="F12" s="12"/>
      <c r="G12" s="47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2"/>
      <c r="T12" s="70" t="s">
        <v>8</v>
      </c>
      <c r="U12" s="11"/>
      <c r="V12" s="11"/>
      <c r="W12" s="11"/>
      <c r="X12" s="11"/>
      <c r="Y12" s="11"/>
      <c r="Z12" s="12"/>
      <c r="AA12" s="47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2"/>
      <c r="AM12" s="61"/>
    </row>
    <row r="13" ht="15.0" customHeight="1">
      <c r="A13" s="62"/>
      <c r="B13" s="70" t="s">
        <v>9</v>
      </c>
      <c r="C13" s="11"/>
      <c r="D13" s="11"/>
      <c r="E13" s="11"/>
      <c r="F13" s="12"/>
      <c r="G13" s="47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2"/>
      <c r="T13" s="70" t="s">
        <v>10</v>
      </c>
      <c r="U13" s="11"/>
      <c r="V13" s="11"/>
      <c r="W13" s="11"/>
      <c r="X13" s="11"/>
      <c r="Y13" s="11"/>
      <c r="Z13" s="12"/>
      <c r="AA13" s="47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2"/>
      <c r="AM13" s="61"/>
    </row>
    <row r="14" ht="15.0" customHeight="1">
      <c r="A14" s="61"/>
      <c r="B14" s="70" t="s">
        <v>11</v>
      </c>
      <c r="C14" s="11"/>
      <c r="D14" s="11"/>
      <c r="E14" s="11"/>
      <c r="F14" s="12"/>
      <c r="G14" s="47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2"/>
      <c r="T14" s="70" t="s">
        <v>12</v>
      </c>
      <c r="U14" s="11"/>
      <c r="V14" s="11"/>
      <c r="W14" s="11"/>
      <c r="X14" s="11"/>
      <c r="Y14" s="11"/>
      <c r="Z14" s="12"/>
      <c r="AA14" s="47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2"/>
      <c r="AM14" s="61"/>
    </row>
    <row r="15" ht="15.0" customHeight="1">
      <c r="A15" s="62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</row>
    <row r="16" ht="15.0" customHeight="1">
      <c r="A16" s="62"/>
      <c r="B16" s="43" t="s">
        <v>194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2"/>
      <c r="T16" s="61"/>
      <c r="U16" s="43" t="s">
        <v>339</v>
      </c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2"/>
      <c r="AM16" s="61"/>
    </row>
    <row r="17" ht="15.0" customHeight="1">
      <c r="A17" s="62"/>
      <c r="B17" s="44" t="s">
        <v>15</v>
      </c>
      <c r="C17" s="11"/>
      <c r="D17" s="11"/>
      <c r="E17" s="11"/>
      <c r="F17" s="11"/>
      <c r="G17" s="11"/>
      <c r="H17" s="11"/>
      <c r="I17" s="11"/>
      <c r="J17" s="12"/>
      <c r="K17" s="44" t="s">
        <v>16</v>
      </c>
      <c r="L17" s="11"/>
      <c r="M17" s="12"/>
      <c r="N17" s="44" t="s">
        <v>17</v>
      </c>
      <c r="O17" s="11"/>
      <c r="P17" s="11"/>
      <c r="Q17" s="11"/>
      <c r="R17" s="12"/>
      <c r="S17" s="72"/>
      <c r="T17" s="61"/>
      <c r="U17" s="98" t="s">
        <v>340</v>
      </c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2"/>
      <c r="AM17" s="61"/>
    </row>
    <row r="18" ht="15.0" customHeight="1">
      <c r="A18" s="61"/>
      <c r="B18" s="47" t="s">
        <v>197</v>
      </c>
      <c r="C18" s="11"/>
      <c r="D18" s="11"/>
      <c r="E18" s="11"/>
      <c r="F18" s="11"/>
      <c r="G18" s="11"/>
      <c r="H18" s="11"/>
      <c r="I18" s="11"/>
      <c r="J18" s="12"/>
      <c r="K18" s="48" t="s">
        <v>20</v>
      </c>
      <c r="L18" s="11"/>
      <c r="M18" s="12"/>
      <c r="N18" s="47"/>
      <c r="O18" s="11"/>
      <c r="P18" s="11"/>
      <c r="Q18" s="12"/>
      <c r="R18" s="89" t="s">
        <v>21</v>
      </c>
      <c r="S18" s="54" t="s">
        <v>6</v>
      </c>
      <c r="T18" s="61"/>
      <c r="U18" s="44" t="s">
        <v>341</v>
      </c>
      <c r="V18" s="11"/>
      <c r="W18" s="11"/>
      <c r="X18" s="12"/>
      <c r="Y18" s="44" t="s">
        <v>342</v>
      </c>
      <c r="Z18" s="11"/>
      <c r="AA18" s="11"/>
      <c r="AB18" s="12"/>
      <c r="AC18" s="44" t="s">
        <v>341</v>
      </c>
      <c r="AD18" s="11"/>
      <c r="AE18" s="11"/>
      <c r="AF18" s="12"/>
      <c r="AG18" s="44" t="s">
        <v>342</v>
      </c>
      <c r="AH18" s="11"/>
      <c r="AI18" s="11"/>
      <c r="AJ18" s="11"/>
      <c r="AK18" s="12"/>
      <c r="AL18" s="72"/>
      <c r="AM18" s="61"/>
    </row>
    <row r="19" ht="15.0" customHeight="1">
      <c r="A19" s="62"/>
      <c r="B19" s="47" t="s">
        <v>199</v>
      </c>
      <c r="C19" s="11"/>
      <c r="D19" s="11"/>
      <c r="E19" s="11"/>
      <c r="F19" s="11"/>
      <c r="G19" s="11"/>
      <c r="H19" s="11"/>
      <c r="I19" s="11"/>
      <c r="J19" s="12"/>
      <c r="K19" s="48" t="s">
        <v>20</v>
      </c>
      <c r="L19" s="11"/>
      <c r="M19" s="12"/>
      <c r="N19" s="47"/>
      <c r="O19" s="11"/>
      <c r="P19" s="11"/>
      <c r="Q19" s="12"/>
      <c r="R19" s="89" t="s">
        <v>21</v>
      </c>
      <c r="S19" s="54" t="s">
        <v>6</v>
      </c>
      <c r="T19" s="61"/>
      <c r="U19" s="44" t="s">
        <v>343</v>
      </c>
      <c r="V19" s="11"/>
      <c r="W19" s="11"/>
      <c r="X19" s="12"/>
      <c r="Y19" s="47"/>
      <c r="Z19" s="11"/>
      <c r="AA19" s="11"/>
      <c r="AB19" s="93" t="s">
        <v>344</v>
      </c>
      <c r="AC19" s="44">
        <v>4.0</v>
      </c>
      <c r="AD19" s="11"/>
      <c r="AE19" s="11"/>
      <c r="AF19" s="12"/>
      <c r="AG19" s="47"/>
      <c r="AH19" s="11"/>
      <c r="AI19" s="11"/>
      <c r="AJ19" s="11"/>
      <c r="AK19" s="93" t="s">
        <v>344</v>
      </c>
      <c r="AL19" s="51" t="s">
        <v>6</v>
      </c>
      <c r="AM19" s="61"/>
    </row>
    <row r="20" ht="15.0" customHeight="1">
      <c r="A20" s="62"/>
      <c r="B20" s="47" t="s">
        <v>201</v>
      </c>
      <c r="C20" s="11"/>
      <c r="D20" s="11"/>
      <c r="E20" s="11"/>
      <c r="F20" s="11"/>
      <c r="G20" s="11"/>
      <c r="H20" s="11"/>
      <c r="I20" s="11"/>
      <c r="J20" s="12"/>
      <c r="K20" s="48" t="s">
        <v>202</v>
      </c>
      <c r="L20" s="11"/>
      <c r="M20" s="12"/>
      <c r="N20" s="47"/>
      <c r="O20" s="11"/>
      <c r="P20" s="11"/>
      <c r="Q20" s="12"/>
      <c r="R20" s="89" t="s">
        <v>21</v>
      </c>
      <c r="S20" s="54" t="s">
        <v>6</v>
      </c>
      <c r="T20" s="62"/>
      <c r="U20" s="44" t="s">
        <v>345</v>
      </c>
      <c r="V20" s="11"/>
      <c r="W20" s="11"/>
      <c r="X20" s="12"/>
      <c r="Y20" s="47"/>
      <c r="Z20" s="11"/>
      <c r="AA20" s="11"/>
      <c r="AB20" s="93" t="s">
        <v>344</v>
      </c>
      <c r="AC20" s="44">
        <v>3.5</v>
      </c>
      <c r="AD20" s="11"/>
      <c r="AE20" s="11"/>
      <c r="AF20" s="12"/>
      <c r="AG20" s="47"/>
      <c r="AH20" s="11"/>
      <c r="AI20" s="11"/>
      <c r="AJ20" s="11"/>
      <c r="AK20" s="93" t="s">
        <v>344</v>
      </c>
      <c r="AL20" s="51" t="s">
        <v>6</v>
      </c>
      <c r="AM20" s="61"/>
    </row>
    <row r="21" ht="15.0" customHeight="1">
      <c r="A21" s="62"/>
      <c r="B21" s="47" t="s">
        <v>203</v>
      </c>
      <c r="C21" s="11"/>
      <c r="D21" s="11"/>
      <c r="E21" s="11"/>
      <c r="F21" s="11"/>
      <c r="G21" s="11"/>
      <c r="H21" s="11"/>
      <c r="I21" s="11"/>
      <c r="J21" s="12"/>
      <c r="K21" s="48" t="s">
        <v>204</v>
      </c>
      <c r="L21" s="11"/>
      <c r="M21" s="12"/>
      <c r="N21" s="47"/>
      <c r="O21" s="11"/>
      <c r="P21" s="11"/>
      <c r="Q21" s="12"/>
      <c r="R21" s="89" t="s">
        <v>205</v>
      </c>
      <c r="S21" s="54" t="s">
        <v>6</v>
      </c>
      <c r="T21" s="62"/>
      <c r="U21" s="98" t="s">
        <v>346</v>
      </c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  <c r="AM21" s="61"/>
    </row>
    <row r="22" ht="15.0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44" t="s">
        <v>341</v>
      </c>
      <c r="V22" s="11"/>
      <c r="W22" s="11"/>
      <c r="X22" s="12"/>
      <c r="Y22" s="44" t="s">
        <v>342</v>
      </c>
      <c r="Z22" s="11"/>
      <c r="AA22" s="11"/>
      <c r="AB22" s="12"/>
      <c r="AC22" s="44" t="s">
        <v>341</v>
      </c>
      <c r="AD22" s="11"/>
      <c r="AE22" s="11"/>
      <c r="AF22" s="12"/>
      <c r="AG22" s="44" t="s">
        <v>342</v>
      </c>
      <c r="AH22" s="11"/>
      <c r="AI22" s="11"/>
      <c r="AJ22" s="11"/>
      <c r="AK22" s="12"/>
      <c r="AL22" s="72"/>
      <c r="AM22" s="61"/>
    </row>
    <row r="23" ht="15.0" customHeight="1">
      <c r="A23" s="62"/>
      <c r="B23" s="43" t="s">
        <v>210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2"/>
      <c r="T23" s="62"/>
      <c r="U23" s="44" t="s">
        <v>343</v>
      </c>
      <c r="V23" s="11"/>
      <c r="W23" s="11"/>
      <c r="X23" s="12"/>
      <c r="Y23" s="47"/>
      <c r="Z23" s="11"/>
      <c r="AA23" s="11"/>
      <c r="AB23" s="93" t="s">
        <v>344</v>
      </c>
      <c r="AC23" s="44">
        <v>4.0</v>
      </c>
      <c r="AD23" s="11"/>
      <c r="AE23" s="11"/>
      <c r="AF23" s="12"/>
      <c r="AG23" s="47"/>
      <c r="AH23" s="11"/>
      <c r="AI23" s="11"/>
      <c r="AJ23" s="11"/>
      <c r="AK23" s="93" t="s">
        <v>344</v>
      </c>
      <c r="AL23" s="51" t="s">
        <v>6</v>
      </c>
      <c r="AM23" s="61"/>
    </row>
    <row r="24" ht="15.0" customHeight="1">
      <c r="A24" s="62"/>
      <c r="B24" s="44" t="s">
        <v>15</v>
      </c>
      <c r="C24" s="11"/>
      <c r="D24" s="11"/>
      <c r="E24" s="11"/>
      <c r="F24" s="11"/>
      <c r="G24" s="11"/>
      <c r="H24" s="11"/>
      <c r="I24" s="11"/>
      <c r="J24" s="12"/>
      <c r="K24" s="44" t="s">
        <v>16</v>
      </c>
      <c r="L24" s="11"/>
      <c r="M24" s="12"/>
      <c r="N24" s="44" t="s">
        <v>17</v>
      </c>
      <c r="O24" s="11"/>
      <c r="P24" s="11"/>
      <c r="Q24" s="11"/>
      <c r="R24" s="12"/>
      <c r="S24" s="72"/>
      <c r="T24" s="62"/>
      <c r="U24" s="44" t="s">
        <v>345</v>
      </c>
      <c r="V24" s="11"/>
      <c r="W24" s="11"/>
      <c r="X24" s="12"/>
      <c r="Y24" s="47"/>
      <c r="Z24" s="11"/>
      <c r="AA24" s="11"/>
      <c r="AB24" s="93" t="s">
        <v>344</v>
      </c>
      <c r="AC24" s="44">
        <v>3.5</v>
      </c>
      <c r="AD24" s="11"/>
      <c r="AE24" s="11"/>
      <c r="AF24" s="12"/>
      <c r="AG24" s="47"/>
      <c r="AH24" s="11"/>
      <c r="AI24" s="11"/>
      <c r="AJ24" s="11"/>
      <c r="AK24" s="93" t="s">
        <v>344</v>
      </c>
      <c r="AL24" s="51" t="s">
        <v>6</v>
      </c>
      <c r="AM24" s="61"/>
    </row>
    <row r="25" ht="14.25" customHeight="1">
      <c r="A25" s="62"/>
      <c r="B25" s="47" t="s">
        <v>213</v>
      </c>
      <c r="C25" s="11"/>
      <c r="D25" s="11"/>
      <c r="E25" s="11"/>
      <c r="F25" s="11"/>
      <c r="G25" s="11"/>
      <c r="H25" s="11"/>
      <c r="I25" s="11"/>
      <c r="J25" s="12"/>
      <c r="K25" s="48" t="s">
        <v>214</v>
      </c>
      <c r="L25" s="11"/>
      <c r="M25" s="12"/>
      <c r="N25" s="47"/>
      <c r="O25" s="11"/>
      <c r="P25" s="11"/>
      <c r="Q25" s="11"/>
      <c r="R25" s="53" t="s">
        <v>215</v>
      </c>
      <c r="S25" s="51" t="s">
        <v>6</v>
      </c>
      <c r="T25" s="62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</row>
    <row r="26" ht="14.2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1"/>
      <c r="U26" s="43" t="s">
        <v>347</v>
      </c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  <c r="AM26" s="61"/>
    </row>
    <row r="27" ht="14.25" customHeight="1">
      <c r="A27" s="62"/>
      <c r="B27" s="43" t="s">
        <v>348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2"/>
      <c r="T27" s="61"/>
      <c r="U27" s="88" t="s">
        <v>349</v>
      </c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2"/>
      <c r="AL27" s="51" t="s">
        <v>6</v>
      </c>
    </row>
    <row r="28" ht="14.25" customHeight="1">
      <c r="A28" s="61"/>
      <c r="B28" s="88" t="s">
        <v>350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2"/>
      <c r="S28" s="54" t="s">
        <v>6</v>
      </c>
      <c r="T28" s="61"/>
      <c r="U28" s="88" t="s">
        <v>351</v>
      </c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2"/>
      <c r="AL28" s="51" t="s">
        <v>6</v>
      </c>
      <c r="AM28" s="61"/>
    </row>
    <row r="29" ht="14.25" customHeight="1">
      <c r="A29" s="62"/>
      <c r="B29" s="92" t="s">
        <v>352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2"/>
      <c r="S29" s="54" t="s">
        <v>6</v>
      </c>
      <c r="T29" s="61"/>
      <c r="U29" s="88" t="s">
        <v>353</v>
      </c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2"/>
      <c r="AL29" s="51" t="s">
        <v>6</v>
      </c>
      <c r="AM29" s="61"/>
    </row>
    <row r="30" ht="14.25" customHeight="1">
      <c r="A30" s="62"/>
      <c r="B30" s="92" t="s">
        <v>354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2"/>
      <c r="S30" s="54" t="s">
        <v>6</v>
      </c>
      <c r="T30" s="61"/>
      <c r="U30" s="88" t="s">
        <v>355</v>
      </c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2"/>
      <c r="AL30" s="51" t="s">
        <v>6</v>
      </c>
      <c r="AM30" s="61"/>
    </row>
    <row r="31" ht="14.25" customHeight="1">
      <c r="A31" s="62"/>
      <c r="B31" s="92" t="s">
        <v>356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2"/>
      <c r="S31" s="54" t="s">
        <v>6</v>
      </c>
      <c r="T31" s="61"/>
      <c r="U31" s="88" t="s">
        <v>357</v>
      </c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2"/>
      <c r="AL31" s="51" t="s">
        <v>6</v>
      </c>
      <c r="AM31" s="61"/>
    </row>
    <row r="32" ht="14.25" customHeight="1">
      <c r="A32" s="62"/>
      <c r="B32" s="92" t="s">
        <v>358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2"/>
      <c r="S32" s="54" t="s">
        <v>6</v>
      </c>
      <c r="T32" s="61"/>
      <c r="U32" s="88" t="s">
        <v>359</v>
      </c>
      <c r="V32" s="11"/>
      <c r="W32" s="11"/>
      <c r="X32" s="11"/>
      <c r="Y32" s="99"/>
      <c r="Z32" s="11"/>
      <c r="AA32" s="99" t="s">
        <v>315</v>
      </c>
      <c r="AB32" s="88" t="s">
        <v>360</v>
      </c>
      <c r="AC32" s="99"/>
      <c r="AD32" s="99"/>
      <c r="AE32" s="99"/>
      <c r="AF32" s="99"/>
      <c r="AG32" s="99"/>
      <c r="AH32" s="11"/>
      <c r="AI32" s="99" t="s">
        <v>315</v>
      </c>
      <c r="AJ32" s="99"/>
      <c r="AK32" s="12"/>
      <c r="AL32" s="51" t="s">
        <v>6</v>
      </c>
      <c r="AM32" s="61"/>
    </row>
    <row r="33" ht="14.25" customHeight="1">
      <c r="A33" s="62"/>
      <c r="B33" s="92" t="s">
        <v>361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2"/>
      <c r="S33" s="54" t="s">
        <v>6</v>
      </c>
      <c r="T33" s="61"/>
      <c r="AK33" s="61"/>
      <c r="AM33" s="61"/>
    </row>
    <row r="34" ht="14.25" customHeight="1">
      <c r="A34" s="62"/>
      <c r="B34" s="92" t="s">
        <v>362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2"/>
      <c r="S34" s="54" t="s">
        <v>6</v>
      </c>
      <c r="T34" s="61"/>
      <c r="U34" s="43" t="s">
        <v>363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  <c r="AM34" s="62"/>
    </row>
    <row r="35" ht="14.25" customHeight="1">
      <c r="A35" s="62"/>
      <c r="B35" s="92" t="s">
        <v>364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2"/>
      <c r="S35" s="54" t="s">
        <v>6</v>
      </c>
      <c r="T35" s="61"/>
      <c r="U35" s="44" t="s">
        <v>365</v>
      </c>
      <c r="V35" s="11"/>
      <c r="W35" s="11"/>
      <c r="X35" s="11"/>
      <c r="Y35" s="11"/>
      <c r="Z35" s="11"/>
      <c r="AA35" s="11"/>
      <c r="AB35" s="11"/>
      <c r="AC35" s="12"/>
      <c r="AD35" s="44" t="s">
        <v>296</v>
      </c>
      <c r="AE35" s="11"/>
      <c r="AF35" s="12"/>
      <c r="AG35" s="44" t="s">
        <v>17</v>
      </c>
      <c r="AH35" s="11"/>
      <c r="AI35" s="11"/>
      <c r="AJ35" s="11"/>
      <c r="AK35" s="12"/>
      <c r="AL35" s="72"/>
      <c r="AM35" s="61"/>
    </row>
    <row r="36" ht="14.25" customHeight="1">
      <c r="A36" s="62"/>
      <c r="B36" s="92" t="s">
        <v>366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2"/>
      <c r="S36" s="54" t="s">
        <v>6</v>
      </c>
      <c r="T36" s="61"/>
      <c r="U36" s="48" t="s">
        <v>367</v>
      </c>
      <c r="V36" s="11"/>
      <c r="W36" s="11"/>
      <c r="X36" s="11"/>
      <c r="Y36" s="11"/>
      <c r="Z36" s="11"/>
      <c r="AA36" s="11"/>
      <c r="AB36" s="11"/>
      <c r="AC36" s="12"/>
      <c r="AD36" s="48" t="s">
        <v>368</v>
      </c>
      <c r="AE36" s="11"/>
      <c r="AF36" s="12"/>
      <c r="AG36" s="47"/>
      <c r="AH36" s="11"/>
      <c r="AI36" s="11"/>
      <c r="AJ36" s="12"/>
      <c r="AK36" s="89" t="s">
        <v>369</v>
      </c>
      <c r="AL36" s="54" t="s">
        <v>6</v>
      </c>
      <c r="AM36" s="61"/>
    </row>
    <row r="37" ht="14.25" customHeight="1">
      <c r="A37" s="62"/>
      <c r="T37" s="61"/>
      <c r="U37" s="48" t="s">
        <v>370</v>
      </c>
      <c r="V37" s="11"/>
      <c r="W37" s="11"/>
      <c r="X37" s="11"/>
      <c r="Y37" s="11"/>
      <c r="Z37" s="11"/>
      <c r="AA37" s="11"/>
      <c r="AB37" s="11"/>
      <c r="AC37" s="12"/>
      <c r="AD37" s="48" t="s">
        <v>371</v>
      </c>
      <c r="AE37" s="11"/>
      <c r="AF37" s="12"/>
      <c r="AG37" s="47"/>
      <c r="AH37" s="11"/>
      <c r="AI37" s="11"/>
      <c r="AJ37" s="12"/>
      <c r="AK37" s="89" t="s">
        <v>369</v>
      </c>
      <c r="AL37" s="54" t="s">
        <v>6</v>
      </c>
      <c r="AM37" s="61"/>
    </row>
    <row r="38" ht="14.25" customHeight="1">
      <c r="A38" s="62"/>
      <c r="B38" s="43" t="s">
        <v>372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2"/>
      <c r="T38" s="61"/>
      <c r="U38" s="48" t="s">
        <v>373</v>
      </c>
      <c r="V38" s="11"/>
      <c r="W38" s="11"/>
      <c r="X38" s="11"/>
      <c r="Y38" s="11"/>
      <c r="Z38" s="11"/>
      <c r="AA38" s="11"/>
      <c r="AB38" s="11"/>
      <c r="AC38" s="12"/>
      <c r="AD38" s="48" t="s">
        <v>371</v>
      </c>
      <c r="AE38" s="11"/>
      <c r="AF38" s="12"/>
      <c r="AG38" s="47"/>
      <c r="AH38" s="11"/>
      <c r="AI38" s="11"/>
      <c r="AJ38" s="12"/>
      <c r="AK38" s="89" t="s">
        <v>369</v>
      </c>
      <c r="AL38" s="54" t="s">
        <v>6</v>
      </c>
      <c r="AM38" s="61"/>
    </row>
    <row r="39" ht="14.25" customHeight="1">
      <c r="A39" s="62"/>
      <c r="B39" s="44" t="s">
        <v>15</v>
      </c>
      <c r="C39" s="11"/>
      <c r="D39" s="11"/>
      <c r="E39" s="11"/>
      <c r="F39" s="11"/>
      <c r="G39" s="11"/>
      <c r="H39" s="11"/>
      <c r="I39" s="11"/>
      <c r="J39" s="12"/>
      <c r="K39" s="44" t="s">
        <v>16</v>
      </c>
      <c r="L39" s="11"/>
      <c r="M39" s="12"/>
      <c r="N39" s="44" t="s">
        <v>17</v>
      </c>
      <c r="O39" s="11"/>
      <c r="P39" s="11"/>
      <c r="Q39" s="11"/>
      <c r="R39" s="12"/>
      <c r="S39" s="72"/>
      <c r="T39" s="61"/>
      <c r="U39" s="48" t="s">
        <v>374</v>
      </c>
      <c r="V39" s="11"/>
      <c r="W39" s="11"/>
      <c r="X39" s="11"/>
      <c r="Y39" s="11"/>
      <c r="Z39" s="11"/>
      <c r="AA39" s="11"/>
      <c r="AB39" s="11"/>
      <c r="AC39" s="12"/>
      <c r="AD39" s="48" t="s">
        <v>371</v>
      </c>
      <c r="AE39" s="11"/>
      <c r="AF39" s="12"/>
      <c r="AG39" s="47"/>
      <c r="AH39" s="11"/>
      <c r="AI39" s="11"/>
      <c r="AJ39" s="12"/>
      <c r="AK39" s="89" t="s">
        <v>369</v>
      </c>
      <c r="AL39" s="54" t="s">
        <v>6</v>
      </c>
      <c r="AM39" s="61"/>
    </row>
    <row r="40" ht="15.75" customHeight="1">
      <c r="B40" s="47" t="s">
        <v>375</v>
      </c>
      <c r="C40" s="11"/>
      <c r="D40" s="11"/>
      <c r="E40" s="11"/>
      <c r="F40" s="11"/>
      <c r="G40" s="11"/>
      <c r="H40" s="11"/>
      <c r="I40" s="11"/>
      <c r="J40" s="12"/>
      <c r="K40" s="48" t="s">
        <v>376</v>
      </c>
      <c r="L40" s="11"/>
      <c r="M40" s="12"/>
      <c r="N40" s="47"/>
      <c r="O40" s="11"/>
      <c r="P40" s="11"/>
      <c r="Q40" s="11"/>
      <c r="R40" s="53" t="s">
        <v>215</v>
      </c>
      <c r="S40" s="51" t="s">
        <v>6</v>
      </c>
      <c r="T40" s="61"/>
      <c r="U40" s="48" t="s">
        <v>377</v>
      </c>
      <c r="V40" s="11"/>
      <c r="W40" s="11"/>
      <c r="X40" s="11"/>
      <c r="Y40" s="11"/>
      <c r="Z40" s="11"/>
      <c r="AA40" s="11"/>
      <c r="AB40" s="11"/>
      <c r="AC40" s="12"/>
      <c r="AD40" s="48" t="s">
        <v>371</v>
      </c>
      <c r="AE40" s="11"/>
      <c r="AF40" s="12"/>
      <c r="AG40" s="47"/>
      <c r="AH40" s="11"/>
      <c r="AI40" s="11"/>
      <c r="AJ40" s="12"/>
      <c r="AK40" s="89" t="s">
        <v>369</v>
      </c>
      <c r="AL40" s="54" t="s">
        <v>6</v>
      </c>
      <c r="AM40" s="61"/>
    </row>
    <row r="41" ht="15.0" customHeight="1">
      <c r="B41" s="47" t="s">
        <v>378</v>
      </c>
      <c r="C41" s="11"/>
      <c r="D41" s="11"/>
      <c r="E41" s="11"/>
      <c r="F41" s="11"/>
      <c r="G41" s="11"/>
      <c r="H41" s="11"/>
      <c r="I41" s="11"/>
      <c r="J41" s="12"/>
      <c r="K41" s="48" t="s">
        <v>376</v>
      </c>
      <c r="L41" s="11"/>
      <c r="M41" s="12"/>
      <c r="N41" s="47"/>
      <c r="O41" s="11"/>
      <c r="P41" s="11"/>
      <c r="Q41" s="11"/>
      <c r="R41" s="53" t="s">
        <v>215</v>
      </c>
      <c r="S41" s="51" t="s">
        <v>6</v>
      </c>
      <c r="T41" s="61"/>
      <c r="U41" s="48" t="s">
        <v>379</v>
      </c>
      <c r="V41" s="11"/>
      <c r="W41" s="11"/>
      <c r="X41" s="11"/>
      <c r="Y41" s="11"/>
      <c r="Z41" s="11"/>
      <c r="AA41" s="11"/>
      <c r="AB41" s="11"/>
      <c r="AC41" s="12"/>
      <c r="AD41" s="48" t="s">
        <v>371</v>
      </c>
      <c r="AE41" s="11"/>
      <c r="AF41" s="12"/>
      <c r="AG41" s="47"/>
      <c r="AH41" s="11"/>
      <c r="AI41" s="11"/>
      <c r="AJ41" s="12"/>
      <c r="AK41" s="89" t="s">
        <v>369</v>
      </c>
      <c r="AL41" s="54" t="s">
        <v>6</v>
      </c>
      <c r="AM41" s="61"/>
    </row>
    <row r="42" ht="15.75" customHeight="1"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1"/>
    </row>
    <row r="43" ht="15.75" customHeight="1">
      <c r="A43" s="62"/>
      <c r="B43" s="43" t="s">
        <v>380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2"/>
      <c r="T43" s="61"/>
      <c r="U43" s="43" t="s">
        <v>363</v>
      </c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  <c r="AM43" s="61"/>
    </row>
    <row r="44" ht="15.75" customHeight="1">
      <c r="A44" s="62"/>
      <c r="B44" s="88" t="s">
        <v>75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2"/>
      <c r="S44" s="54" t="s">
        <v>6</v>
      </c>
      <c r="T44" s="61"/>
      <c r="U44" s="48" t="s">
        <v>381</v>
      </c>
      <c r="V44" s="11"/>
      <c r="W44" s="11"/>
      <c r="X44" s="11"/>
      <c r="Y44" s="11"/>
      <c r="Z44" s="11"/>
      <c r="AA44" s="11"/>
      <c r="AB44" s="11"/>
      <c r="AC44" s="11"/>
      <c r="AD44" s="11"/>
      <c r="AE44" s="12"/>
      <c r="AF44" s="48" t="s">
        <v>359</v>
      </c>
      <c r="AG44" s="11"/>
      <c r="AH44" s="11"/>
      <c r="AI44" s="11"/>
      <c r="AJ44" s="11"/>
      <c r="AK44" s="12"/>
      <c r="AL44" s="72"/>
      <c r="AM44" s="61"/>
    </row>
    <row r="45" ht="15.75" customHeight="1">
      <c r="A45" s="62"/>
      <c r="B45" s="92" t="s">
        <v>382</v>
      </c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2"/>
      <c r="S45" s="54" t="s">
        <v>6</v>
      </c>
      <c r="T45" s="61"/>
      <c r="U45" s="48" t="s">
        <v>365</v>
      </c>
      <c r="V45" s="11"/>
      <c r="W45" s="11"/>
      <c r="X45" s="12"/>
      <c r="Y45" s="48" t="s">
        <v>118</v>
      </c>
      <c r="Z45" s="11"/>
      <c r="AA45" s="11"/>
      <c r="AB45" s="12"/>
      <c r="AC45" s="48" t="s">
        <v>296</v>
      </c>
      <c r="AD45" s="11"/>
      <c r="AE45" s="12"/>
      <c r="AF45" s="48" t="s">
        <v>118</v>
      </c>
      <c r="AG45" s="11"/>
      <c r="AH45" s="12"/>
      <c r="AI45" s="48" t="s">
        <v>296</v>
      </c>
      <c r="AJ45" s="11"/>
      <c r="AK45" s="12"/>
      <c r="AL45" s="54" t="s">
        <v>6</v>
      </c>
      <c r="AM45" s="61"/>
    </row>
    <row r="46" ht="15.75" customHeight="1">
      <c r="A46" s="62"/>
      <c r="B46" s="92" t="s">
        <v>383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2"/>
      <c r="S46" s="54" t="s">
        <v>6</v>
      </c>
      <c r="T46" s="61"/>
      <c r="U46" s="47"/>
      <c r="V46" s="11"/>
      <c r="W46" s="11"/>
      <c r="X46" s="12"/>
      <c r="Y46" s="47"/>
      <c r="Z46" s="11"/>
      <c r="AA46" s="11"/>
      <c r="AB46" s="12"/>
      <c r="AC46" s="48" t="s">
        <v>371</v>
      </c>
      <c r="AD46" s="11"/>
      <c r="AE46" s="12"/>
      <c r="AF46" s="47"/>
      <c r="AG46" s="11"/>
      <c r="AH46" s="12"/>
      <c r="AI46" s="48" t="s">
        <v>384</v>
      </c>
      <c r="AJ46" s="11"/>
      <c r="AK46" s="12"/>
      <c r="AL46" s="54" t="s">
        <v>6</v>
      </c>
      <c r="AM46" s="61"/>
    </row>
    <row r="47" ht="15.75" customHeight="1">
      <c r="A47" s="62"/>
      <c r="T47" s="61"/>
      <c r="U47" s="47"/>
      <c r="V47" s="11"/>
      <c r="W47" s="11"/>
      <c r="X47" s="12"/>
      <c r="Y47" s="47"/>
      <c r="Z47" s="11"/>
      <c r="AA47" s="11"/>
      <c r="AB47" s="12"/>
      <c r="AC47" s="48" t="s">
        <v>371</v>
      </c>
      <c r="AD47" s="11"/>
      <c r="AE47" s="12"/>
      <c r="AF47" s="47"/>
      <c r="AG47" s="11"/>
      <c r="AH47" s="12"/>
      <c r="AI47" s="48" t="s">
        <v>384</v>
      </c>
      <c r="AJ47" s="11"/>
      <c r="AK47" s="12"/>
      <c r="AL47" s="54" t="s">
        <v>6</v>
      </c>
      <c r="AM47" s="61"/>
    </row>
    <row r="48" ht="15.75" customHeight="1">
      <c r="A48" s="62"/>
      <c r="B48" s="43" t="s">
        <v>385</v>
      </c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2"/>
      <c r="T48" s="61"/>
      <c r="U48" s="47"/>
      <c r="V48" s="11"/>
      <c r="W48" s="11"/>
      <c r="X48" s="12"/>
      <c r="Y48" s="47"/>
      <c r="Z48" s="11"/>
      <c r="AA48" s="11"/>
      <c r="AB48" s="12"/>
      <c r="AC48" s="48" t="s">
        <v>371</v>
      </c>
      <c r="AD48" s="11"/>
      <c r="AE48" s="12"/>
      <c r="AF48" s="47"/>
      <c r="AG48" s="11"/>
      <c r="AH48" s="12"/>
      <c r="AI48" s="48" t="s">
        <v>384</v>
      </c>
      <c r="AJ48" s="11"/>
      <c r="AK48" s="12"/>
      <c r="AL48" s="54" t="s">
        <v>6</v>
      </c>
      <c r="AM48" s="61"/>
    </row>
    <row r="49" ht="15.75" customHeight="1">
      <c r="A49" s="62"/>
      <c r="B49" s="88" t="s">
        <v>386</v>
      </c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2"/>
      <c r="S49" s="54" t="s">
        <v>6</v>
      </c>
      <c r="T49" s="61"/>
      <c r="U49" s="47"/>
      <c r="V49" s="11"/>
      <c r="W49" s="11"/>
      <c r="X49" s="12"/>
      <c r="Y49" s="47"/>
      <c r="Z49" s="11"/>
      <c r="AA49" s="11"/>
      <c r="AB49" s="12"/>
      <c r="AC49" s="48" t="s">
        <v>371</v>
      </c>
      <c r="AD49" s="11"/>
      <c r="AE49" s="12"/>
      <c r="AF49" s="47"/>
      <c r="AG49" s="11"/>
      <c r="AH49" s="12"/>
      <c r="AI49" s="48" t="s">
        <v>384</v>
      </c>
      <c r="AJ49" s="11"/>
      <c r="AK49" s="12"/>
      <c r="AL49" s="54" t="s">
        <v>6</v>
      </c>
      <c r="AM49" s="61"/>
    </row>
    <row r="50" ht="15.75" customHeight="1">
      <c r="A50" s="62"/>
      <c r="B50" s="92" t="s">
        <v>387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2"/>
      <c r="S50" s="54" t="s">
        <v>6</v>
      </c>
      <c r="T50" s="61"/>
      <c r="U50" s="47"/>
      <c r="V50" s="11"/>
      <c r="W50" s="11"/>
      <c r="X50" s="12"/>
      <c r="Y50" s="47"/>
      <c r="Z50" s="11"/>
      <c r="AA50" s="11"/>
      <c r="AB50" s="12"/>
      <c r="AC50" s="48" t="s">
        <v>371</v>
      </c>
      <c r="AD50" s="11"/>
      <c r="AE50" s="12"/>
      <c r="AF50" s="47"/>
      <c r="AG50" s="11"/>
      <c r="AH50" s="12"/>
      <c r="AI50" s="48" t="s">
        <v>384</v>
      </c>
      <c r="AJ50" s="11"/>
      <c r="AK50" s="12"/>
      <c r="AL50" s="54" t="s">
        <v>6</v>
      </c>
      <c r="AM50" s="61"/>
    </row>
    <row r="51" ht="15.75" customHeight="1">
      <c r="A51" s="62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</row>
    <row r="52" ht="15.75" customHeight="1">
      <c r="A52" s="62"/>
      <c r="B52" s="43" t="s">
        <v>388</v>
      </c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2"/>
      <c r="T52" s="61"/>
      <c r="U52" s="43" t="s">
        <v>389</v>
      </c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  <c r="AM52" s="61"/>
    </row>
    <row r="53" ht="15.75" customHeight="1">
      <c r="A53" s="62"/>
      <c r="B53" s="44" t="s">
        <v>341</v>
      </c>
      <c r="C53" s="11"/>
      <c r="D53" s="11"/>
      <c r="E53" s="12"/>
      <c r="F53" s="44" t="s">
        <v>342</v>
      </c>
      <c r="G53" s="11"/>
      <c r="H53" s="11"/>
      <c r="I53" s="12"/>
      <c r="J53" s="44" t="s">
        <v>341</v>
      </c>
      <c r="K53" s="11"/>
      <c r="L53" s="11"/>
      <c r="M53" s="12"/>
      <c r="N53" s="44" t="s">
        <v>342</v>
      </c>
      <c r="O53" s="11"/>
      <c r="P53" s="11"/>
      <c r="Q53" s="11"/>
      <c r="R53" s="12"/>
      <c r="S53" s="72"/>
      <c r="T53" s="61"/>
      <c r="U53" s="88" t="s">
        <v>390</v>
      </c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2"/>
      <c r="AL53" s="54" t="s">
        <v>6</v>
      </c>
      <c r="AM53" s="61"/>
    </row>
    <row r="54" ht="15.75" customHeight="1">
      <c r="A54" s="62"/>
      <c r="B54" s="44" t="s">
        <v>391</v>
      </c>
      <c r="C54" s="11"/>
      <c r="D54" s="11"/>
      <c r="E54" s="12"/>
      <c r="F54" s="31" t="s">
        <v>392</v>
      </c>
      <c r="G54" s="11"/>
      <c r="H54" s="11"/>
      <c r="I54" s="12"/>
      <c r="J54" s="44" t="s">
        <v>393</v>
      </c>
      <c r="K54" s="11"/>
      <c r="L54" s="11"/>
      <c r="M54" s="12"/>
      <c r="N54" s="31" t="s">
        <v>392</v>
      </c>
      <c r="O54" s="11"/>
      <c r="P54" s="11"/>
      <c r="Q54" s="11"/>
      <c r="R54" s="12"/>
      <c r="S54" s="51" t="s">
        <v>6</v>
      </c>
      <c r="T54" s="61"/>
      <c r="U54" s="88" t="s">
        <v>394</v>
      </c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2"/>
      <c r="AL54" s="54" t="s">
        <v>6</v>
      </c>
      <c r="AM54" s="61"/>
    </row>
    <row r="55" ht="15.75" customHeight="1">
      <c r="A55" s="62"/>
      <c r="B55" s="44" t="s">
        <v>395</v>
      </c>
      <c r="C55" s="11"/>
      <c r="D55" s="11"/>
      <c r="E55" s="12"/>
      <c r="F55" s="31" t="s">
        <v>392</v>
      </c>
      <c r="G55" s="11"/>
      <c r="H55" s="11"/>
      <c r="I55" s="12"/>
      <c r="J55" s="44" t="s">
        <v>396</v>
      </c>
      <c r="K55" s="11"/>
      <c r="L55" s="11"/>
      <c r="M55" s="12"/>
      <c r="N55" s="31" t="s">
        <v>392</v>
      </c>
      <c r="O55" s="11"/>
      <c r="P55" s="11"/>
      <c r="Q55" s="11"/>
      <c r="R55" s="12"/>
      <c r="S55" s="51" t="s">
        <v>6</v>
      </c>
      <c r="T55" s="61"/>
      <c r="U55" s="92" t="s">
        <v>397</v>
      </c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2"/>
      <c r="AL55" s="54" t="s">
        <v>6</v>
      </c>
      <c r="AM55" s="61"/>
    </row>
    <row r="56" ht="15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1"/>
      <c r="U56" s="92" t="s">
        <v>398</v>
      </c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2"/>
      <c r="AL56" s="54" t="s">
        <v>6</v>
      </c>
      <c r="AM56" s="61"/>
    </row>
    <row r="57" ht="15.75" customHeight="1">
      <c r="A57" s="61"/>
      <c r="B57" s="43" t="s">
        <v>399</v>
      </c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2"/>
      <c r="T57" s="61"/>
      <c r="U57" s="92" t="s">
        <v>51</v>
      </c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2"/>
      <c r="AL57" s="54" t="s">
        <v>6</v>
      </c>
      <c r="AM57" s="61"/>
    </row>
    <row r="58" ht="15.75" customHeight="1">
      <c r="A58" s="61"/>
      <c r="B58" s="44" t="s">
        <v>341</v>
      </c>
      <c r="C58" s="11"/>
      <c r="D58" s="11"/>
      <c r="E58" s="12"/>
      <c r="F58" s="44" t="s">
        <v>342</v>
      </c>
      <c r="G58" s="11"/>
      <c r="H58" s="11"/>
      <c r="I58" s="12"/>
      <c r="J58" s="44" t="s">
        <v>341</v>
      </c>
      <c r="K58" s="11"/>
      <c r="L58" s="11"/>
      <c r="M58" s="12"/>
      <c r="N58" s="44" t="s">
        <v>342</v>
      </c>
      <c r="O58" s="11"/>
      <c r="P58" s="11"/>
      <c r="Q58" s="11"/>
      <c r="R58" s="12"/>
      <c r="S58" s="72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61"/>
      <c r="AM58" s="61"/>
    </row>
    <row r="59" ht="15.75" customHeight="1">
      <c r="A59" s="61"/>
      <c r="B59" s="44" t="s">
        <v>400</v>
      </c>
      <c r="C59" s="11"/>
      <c r="D59" s="11"/>
      <c r="E59" s="12"/>
      <c r="F59" s="31" t="s">
        <v>392</v>
      </c>
      <c r="G59" s="11"/>
      <c r="H59" s="11"/>
      <c r="I59" s="12"/>
      <c r="J59" s="44" t="s">
        <v>401</v>
      </c>
      <c r="K59" s="11"/>
      <c r="L59" s="11"/>
      <c r="M59" s="12"/>
      <c r="N59" s="31" t="s">
        <v>392</v>
      </c>
      <c r="O59" s="11"/>
      <c r="P59" s="11"/>
      <c r="Q59" s="11"/>
      <c r="R59" s="12"/>
      <c r="S59" s="51" t="s">
        <v>6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</row>
    <row r="60" ht="15.75" customHeight="1">
      <c r="A60" s="62"/>
      <c r="B60" s="44" t="s">
        <v>402</v>
      </c>
      <c r="C60" s="11"/>
      <c r="D60" s="11"/>
      <c r="E60" s="12"/>
      <c r="F60" s="31" t="s">
        <v>392</v>
      </c>
      <c r="G60" s="11"/>
      <c r="H60" s="11"/>
      <c r="I60" s="12"/>
      <c r="J60" s="44" t="s">
        <v>403</v>
      </c>
      <c r="K60" s="11"/>
      <c r="L60" s="11"/>
      <c r="M60" s="12"/>
      <c r="N60" s="31" t="s">
        <v>392</v>
      </c>
      <c r="O60" s="11"/>
      <c r="P60" s="11"/>
      <c r="Q60" s="11"/>
      <c r="R60" s="12"/>
      <c r="S60" s="51" t="s">
        <v>6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</row>
    <row r="61" ht="15.75" customHeight="1">
      <c r="A61" s="62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</row>
    <row r="62" ht="15.75" customHeight="1">
      <c r="A62" s="62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  <c r="AL62" s="61"/>
      <c r="AM62" s="61"/>
    </row>
    <row r="63" ht="15.75" customHeight="1"/>
    <row r="64" ht="15.75" customHeight="1"/>
    <row r="65" ht="15.75" customHeight="1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</row>
    <row r="66" ht="15.75" customHeight="1">
      <c r="A66" s="61"/>
      <c r="B66" s="78" t="s">
        <v>58</v>
      </c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  <c r="AM66" s="61"/>
    </row>
    <row r="67" ht="15.75" customHeight="1">
      <c r="B67" s="44" t="s">
        <v>59</v>
      </c>
      <c r="C67" s="11"/>
      <c r="D67" s="11"/>
      <c r="E67" s="11"/>
      <c r="F67" s="11"/>
      <c r="G67" s="11"/>
      <c r="H67" s="11"/>
      <c r="I67" s="11"/>
      <c r="J67" s="11"/>
      <c r="K67" s="12"/>
      <c r="L67" s="44" t="s">
        <v>8</v>
      </c>
      <c r="M67" s="11"/>
      <c r="N67" s="11"/>
      <c r="O67" s="11"/>
      <c r="P67" s="11"/>
      <c r="Q67" s="11"/>
      <c r="R67" s="11"/>
      <c r="S67" s="12"/>
      <c r="T67" s="44" t="s">
        <v>10</v>
      </c>
      <c r="U67" s="11"/>
      <c r="V67" s="11"/>
      <c r="W67" s="11"/>
      <c r="X67" s="11"/>
      <c r="Y67" s="11"/>
      <c r="Z67" s="11"/>
      <c r="AA67" s="11"/>
      <c r="AB67" s="12"/>
      <c r="AC67" s="44" t="s">
        <v>60</v>
      </c>
      <c r="AD67" s="11"/>
      <c r="AE67" s="11"/>
      <c r="AF67" s="11"/>
      <c r="AG67" s="11"/>
      <c r="AH67" s="11"/>
      <c r="AI67" s="11"/>
      <c r="AJ67" s="11"/>
      <c r="AK67" s="11"/>
      <c r="AL67" s="12"/>
      <c r="AM67" s="61"/>
    </row>
    <row r="68" ht="15.75" customHeight="1">
      <c r="A68" s="62" t="s">
        <v>61</v>
      </c>
      <c r="B68" s="41" t="str">
        <f t="shared" ref="B68:B70" si="1">IFERROR(VLOOKUP(A68,catalogoAnalizadores!A:E,2,FALSE),"")</f>
        <v/>
      </c>
      <c r="C68" s="11"/>
      <c r="D68" s="11"/>
      <c r="E68" s="11"/>
      <c r="F68" s="11"/>
      <c r="G68" s="11"/>
      <c r="H68" s="11"/>
      <c r="I68" s="11"/>
      <c r="J68" s="11"/>
      <c r="K68" s="12"/>
      <c r="L68" s="41" t="str">
        <f t="shared" ref="L68:L70" si="2">IFERROR(VLOOKUP(A68,catalogoAnalizadores!A:E,3,FALSE),"")</f>
        <v/>
      </c>
      <c r="M68" s="11"/>
      <c r="N68" s="11"/>
      <c r="O68" s="11"/>
      <c r="P68" s="11"/>
      <c r="Q68" s="11"/>
      <c r="R68" s="11"/>
      <c r="S68" s="12"/>
      <c r="T68" s="41" t="str">
        <f t="shared" ref="T68:T70" si="3">IFERROR(VLOOKUP(A68,catalogoAnalizadores!A:E,4,FALSE),"")</f>
        <v/>
      </c>
      <c r="U68" s="11"/>
      <c r="V68" s="11"/>
      <c r="W68" s="11"/>
      <c r="X68" s="11"/>
      <c r="Y68" s="11"/>
      <c r="Z68" s="11"/>
      <c r="AA68" s="11"/>
      <c r="AB68" s="12"/>
      <c r="AC68" s="41" t="str">
        <f t="shared" ref="AC68:AC70" si="4">IFERROR(VLOOKUP(A68,catalogoAnalizadores!A:E,5,FALSE),"")</f>
        <v/>
      </c>
      <c r="AD68" s="11"/>
      <c r="AE68" s="11"/>
      <c r="AF68" s="11"/>
      <c r="AG68" s="11"/>
      <c r="AH68" s="11"/>
      <c r="AI68" s="11"/>
      <c r="AJ68" s="11"/>
      <c r="AK68" s="11"/>
      <c r="AL68" s="12"/>
      <c r="AM68" s="61"/>
    </row>
    <row r="69" ht="15.75" customHeight="1">
      <c r="A69" s="62" t="s">
        <v>61</v>
      </c>
      <c r="B69" s="41" t="str">
        <f t="shared" si="1"/>
        <v/>
      </c>
      <c r="C69" s="11"/>
      <c r="D69" s="11"/>
      <c r="E69" s="11"/>
      <c r="F69" s="11"/>
      <c r="G69" s="11"/>
      <c r="H69" s="11"/>
      <c r="I69" s="11"/>
      <c r="J69" s="11"/>
      <c r="K69" s="12"/>
      <c r="L69" s="41" t="str">
        <f t="shared" si="2"/>
        <v/>
      </c>
      <c r="M69" s="11"/>
      <c r="N69" s="11"/>
      <c r="O69" s="11"/>
      <c r="P69" s="11"/>
      <c r="Q69" s="11"/>
      <c r="R69" s="11"/>
      <c r="S69" s="12"/>
      <c r="T69" s="41" t="str">
        <f t="shared" si="3"/>
        <v/>
      </c>
      <c r="U69" s="11"/>
      <c r="V69" s="11"/>
      <c r="W69" s="11"/>
      <c r="X69" s="11"/>
      <c r="Y69" s="11"/>
      <c r="Z69" s="11"/>
      <c r="AA69" s="11"/>
      <c r="AB69" s="12"/>
      <c r="AC69" s="41" t="str">
        <f t="shared" si="4"/>
        <v/>
      </c>
      <c r="AD69" s="11"/>
      <c r="AE69" s="11"/>
      <c r="AF69" s="11"/>
      <c r="AG69" s="11"/>
      <c r="AH69" s="11"/>
      <c r="AI69" s="11"/>
      <c r="AJ69" s="11"/>
      <c r="AK69" s="11"/>
      <c r="AL69" s="12"/>
      <c r="AM69" s="61"/>
    </row>
    <row r="70" ht="15.75" customHeight="1">
      <c r="A70" s="62" t="s">
        <v>61</v>
      </c>
      <c r="B70" s="41" t="str">
        <f t="shared" si="1"/>
        <v/>
      </c>
      <c r="C70" s="11"/>
      <c r="D70" s="11"/>
      <c r="E70" s="11"/>
      <c r="F70" s="11"/>
      <c r="G70" s="11"/>
      <c r="H70" s="11"/>
      <c r="I70" s="11"/>
      <c r="J70" s="11"/>
      <c r="K70" s="12"/>
      <c r="L70" s="41" t="str">
        <f t="shared" si="2"/>
        <v/>
      </c>
      <c r="M70" s="11"/>
      <c r="N70" s="11"/>
      <c r="O70" s="11"/>
      <c r="P70" s="11"/>
      <c r="Q70" s="11"/>
      <c r="R70" s="11"/>
      <c r="S70" s="12"/>
      <c r="T70" s="41" t="str">
        <f t="shared" si="3"/>
        <v/>
      </c>
      <c r="U70" s="11"/>
      <c r="V70" s="11"/>
      <c r="W70" s="11"/>
      <c r="X70" s="11"/>
      <c r="Y70" s="11"/>
      <c r="Z70" s="11"/>
      <c r="AA70" s="11"/>
      <c r="AB70" s="12"/>
      <c r="AC70" s="41" t="str">
        <f t="shared" si="4"/>
        <v/>
      </c>
      <c r="AD70" s="11"/>
      <c r="AE70" s="11"/>
      <c r="AF70" s="11"/>
      <c r="AG70" s="11"/>
      <c r="AH70" s="11"/>
      <c r="AI70" s="11"/>
      <c r="AJ70" s="11"/>
      <c r="AK70" s="11"/>
      <c r="AL70" s="12"/>
      <c r="AM70" s="62"/>
    </row>
    <row r="71" ht="15.75" customHeight="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1"/>
      <c r="AM71" s="61"/>
    </row>
    <row r="72" ht="15.75" customHeight="1">
      <c r="A72" s="61"/>
      <c r="B72" s="78" t="s">
        <v>62</v>
      </c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  <c r="AM72" s="61"/>
    </row>
    <row r="73" ht="15.75" customHeight="1">
      <c r="A73" s="61"/>
      <c r="B73" s="47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  <c r="AM73" s="61"/>
    </row>
    <row r="74" ht="15.75" customHeight="1">
      <c r="A74" s="61"/>
      <c r="B74" s="47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  <c r="AM74" s="61"/>
    </row>
    <row r="75" ht="15.75" customHeight="1">
      <c r="A75" s="61"/>
      <c r="B75" s="47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  <c r="AM75" s="61"/>
    </row>
    <row r="76" ht="15.75" customHeight="1">
      <c r="A76" s="61"/>
      <c r="B76" s="47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  <c r="AM76" s="61"/>
    </row>
    <row r="77" ht="15.75" customHeight="1">
      <c r="A77" s="61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1"/>
    </row>
    <row r="78" ht="15.75" customHeight="1">
      <c r="A78" s="61"/>
      <c r="B78" s="62"/>
      <c r="M78" s="61"/>
      <c r="N78" s="61"/>
      <c r="O78" s="61"/>
      <c r="P78" s="61"/>
      <c r="AA78" s="61"/>
      <c r="AB78" s="61"/>
      <c r="AC78" s="62"/>
      <c r="AM78" s="61"/>
    </row>
    <row r="79" ht="15.75" customHeight="1">
      <c r="A79" s="61"/>
      <c r="B79" s="79" t="s">
        <v>63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61"/>
      <c r="N79" s="61"/>
      <c r="O79" s="61"/>
      <c r="P79" s="61"/>
      <c r="Q79" s="79" t="s">
        <v>64</v>
      </c>
      <c r="R79" s="18"/>
      <c r="S79" s="18"/>
      <c r="T79" s="18"/>
      <c r="U79" s="18"/>
      <c r="V79" s="18"/>
      <c r="W79" s="18"/>
      <c r="X79" s="18"/>
      <c r="Y79" s="18"/>
      <c r="Z79" s="18"/>
      <c r="AA79" s="61"/>
      <c r="AB79" s="61"/>
      <c r="AC79" s="79" t="s">
        <v>65</v>
      </c>
      <c r="AD79" s="18"/>
      <c r="AE79" s="18"/>
      <c r="AF79" s="18"/>
      <c r="AG79" s="18"/>
      <c r="AH79" s="18"/>
      <c r="AI79" s="18"/>
      <c r="AJ79" s="18"/>
      <c r="AK79" s="18"/>
      <c r="AL79" s="18"/>
      <c r="AM79" s="61"/>
    </row>
    <row r="80" ht="15.75" customHeight="1">
      <c r="A80" s="62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</row>
    <row r="81" ht="15.75" customHeight="1">
      <c r="A81" s="62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</row>
    <row r="82" ht="15.75" customHeight="1">
      <c r="A82" s="62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</row>
    <row r="83" ht="15.75" customHeight="1">
      <c r="A83" s="62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</row>
    <row r="84" ht="15.75" customHeight="1">
      <c r="A84" s="62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</row>
    <row r="85" ht="15.75" customHeight="1">
      <c r="A85" s="62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</row>
    <row r="86" ht="15.75" customHeight="1">
      <c r="A86" s="62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</row>
    <row r="87" ht="15.75" customHeight="1">
      <c r="A87" s="62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</row>
    <row r="88" ht="15.75" customHeight="1">
      <c r="A88" s="62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</row>
    <row r="89" ht="15.75" customHeight="1">
      <c r="A89" s="62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</row>
    <row r="90" ht="15.75" customHeight="1">
      <c r="A90" s="62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</row>
    <row r="91" ht="15.75" customHeight="1">
      <c r="A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</row>
    <row r="92" ht="15.75" customHeight="1">
      <c r="AM92" s="61"/>
    </row>
    <row r="93" ht="15.75" customHeight="1">
      <c r="AM93" s="61"/>
    </row>
    <row r="94" ht="15.75" customHeight="1">
      <c r="AM94" s="61"/>
    </row>
    <row r="95" ht="15.75" customHeight="1">
      <c r="AM95" s="61"/>
    </row>
    <row r="96" ht="15.75" customHeight="1">
      <c r="AM96" s="61"/>
    </row>
    <row r="97" ht="15.75" customHeight="1">
      <c r="AM97" s="61"/>
    </row>
    <row r="98" ht="15.75" customHeight="1">
      <c r="AM98" s="61"/>
    </row>
    <row r="99" ht="15.75" customHeight="1">
      <c r="AM99" s="61"/>
    </row>
    <row r="100" ht="15.75" customHeight="1">
      <c r="AM100" s="61"/>
    </row>
    <row r="101" ht="15.75" customHeight="1">
      <c r="AM101" s="61"/>
    </row>
    <row r="102" ht="15.75" customHeight="1">
      <c r="AM102" s="61"/>
    </row>
    <row r="103" ht="15.75" customHeight="1">
      <c r="AM103" s="61"/>
    </row>
    <row r="104" ht="15.75" customHeight="1">
      <c r="AM104" s="61"/>
    </row>
    <row r="105" ht="15.75" customHeight="1">
      <c r="AM105" s="61"/>
    </row>
    <row r="106" ht="15.75" customHeight="1">
      <c r="AM106" s="61"/>
    </row>
    <row r="107" ht="15.75" customHeight="1">
      <c r="AM107" s="61"/>
    </row>
    <row r="108" ht="15.75" customHeight="1">
      <c r="A108" s="62"/>
      <c r="B108" s="62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62"/>
      <c r="B109" s="62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62"/>
      <c r="B110" s="62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62"/>
      <c r="B111" s="62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62"/>
      <c r="B112" s="62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61"/>
      <c r="B114" s="61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61"/>
      <c r="B115" s="61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61"/>
      <c r="B116" s="61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61"/>
      <c r="B117" s="61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</row>
    <row r="124" ht="15.75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</row>
    <row r="125" ht="15.75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</row>
    <row r="126" ht="15.75" customHeight="1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</row>
    <row r="127" ht="15.75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</row>
    <row r="128" ht="15.75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</row>
    <row r="129" ht="15.75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</row>
    <row r="130" ht="15.75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</row>
    <row r="131" ht="15.75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</row>
    <row r="132" ht="15.75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</row>
    <row r="133" ht="15.75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</row>
    <row r="134" ht="15.75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</row>
    <row r="135" ht="15.75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</row>
    <row r="136" ht="15.75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</row>
    <row r="137" ht="15.75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</row>
    <row r="138" ht="15.75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</row>
    <row r="139" ht="15.75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</row>
    <row r="140" ht="15.75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</row>
    <row r="141" ht="15.75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  <c r="AM141" s="61"/>
    </row>
    <row r="142" ht="15.75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</row>
    <row r="143" ht="15.75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</row>
    <row r="144" ht="15.75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</row>
    <row r="145" ht="15.75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</row>
    <row r="146" ht="15.75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</row>
    <row r="147" ht="15.75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</row>
    <row r="148" ht="15.75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</row>
    <row r="149" ht="15.75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</row>
    <row r="150" ht="15.75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</row>
    <row r="151" ht="15.75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</row>
    <row r="152" ht="15.75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</row>
    <row r="153" ht="15.75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</row>
    <row r="154" ht="15.75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</row>
    <row r="155" ht="15.75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</row>
    <row r="156" ht="15.75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  <c r="AM156" s="61"/>
    </row>
    <row r="157" ht="15.75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</row>
    <row r="158" ht="15.75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  <c r="AM158" s="61"/>
    </row>
    <row r="159" ht="15.75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</row>
    <row r="160" ht="15.75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</row>
    <row r="161" ht="15.75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</row>
    <row r="162" ht="15.75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  <c r="AM162" s="61"/>
    </row>
    <row r="163" ht="15.75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</row>
    <row r="164" ht="15.75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  <c r="AM164" s="61"/>
    </row>
    <row r="165" ht="15.75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</row>
    <row r="166" ht="15.75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  <c r="AM166" s="61"/>
    </row>
    <row r="167" ht="15.75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</row>
    <row r="168" ht="15.75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  <c r="AM168" s="61"/>
    </row>
    <row r="169" ht="15.75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</row>
    <row r="170" ht="15.75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</row>
    <row r="171" ht="15.75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</row>
    <row r="172" ht="15.75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</row>
    <row r="173" ht="15.75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</row>
    <row r="174" ht="15.75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</row>
    <row r="175" ht="15.75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</row>
    <row r="176" ht="15.75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</row>
    <row r="177" ht="15.75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</row>
    <row r="178" ht="15.75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</row>
    <row r="179" ht="15.75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</row>
    <row r="180" ht="15.75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</row>
    <row r="181" ht="15.75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</row>
    <row r="182" ht="15.75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</row>
    <row r="183" ht="15.75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</row>
    <row r="184" ht="15.75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</row>
    <row r="185" ht="15.75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</row>
    <row r="186" ht="15.75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</row>
    <row r="187" ht="15.75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</row>
    <row r="188" ht="15.75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</row>
    <row r="189" ht="15.75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</row>
    <row r="190" ht="15.75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</row>
    <row r="191" ht="15.75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</row>
    <row r="192" ht="15.75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</row>
    <row r="193" ht="15.75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</row>
    <row r="194" ht="15.75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</row>
    <row r="195" ht="15.7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</row>
    <row r="196" ht="15.75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</row>
    <row r="197" ht="15.75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</row>
    <row r="198" ht="15.75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  <c r="AM198" s="61"/>
    </row>
    <row r="199" ht="15.75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</row>
    <row r="200" ht="15.75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</row>
    <row r="201" ht="15.75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</row>
    <row r="202" ht="15.75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</row>
    <row r="203" ht="15.75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</row>
    <row r="204" ht="15.75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</row>
    <row r="205" ht="15.75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</row>
    <row r="206" ht="15.75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</row>
    <row r="207" ht="15.75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</row>
    <row r="208" ht="15.75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  <c r="AM208" s="61"/>
    </row>
    <row r="209" ht="15.75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</row>
    <row r="210" ht="15.75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</row>
    <row r="211" ht="15.75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</row>
    <row r="212" ht="15.75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</row>
    <row r="213" ht="15.75" customHeight="1">
      <c r="AM213" s="61"/>
    </row>
    <row r="214" ht="15.75" customHeight="1">
      <c r="AM214" s="61"/>
    </row>
    <row r="215" ht="15.75" customHeight="1">
      <c r="AM215" s="61"/>
    </row>
    <row r="216" ht="15.75" customHeight="1">
      <c r="AM216" s="61"/>
    </row>
    <row r="217" ht="15.75" customHeight="1">
      <c r="AM217" s="61"/>
    </row>
    <row r="218" ht="15.75" customHeight="1">
      <c r="AM218" s="61"/>
    </row>
    <row r="219" ht="15.75" customHeight="1">
      <c r="AM219" s="61"/>
    </row>
    <row r="220" ht="15.75" customHeight="1">
      <c r="AM220" s="61"/>
    </row>
    <row r="221" ht="15.75" customHeight="1">
      <c r="AM221" s="61"/>
    </row>
    <row r="222" ht="15.75" customHeight="1">
      <c r="AM222" s="61"/>
    </row>
    <row r="223" ht="15.75" customHeight="1">
      <c r="AM223" s="61"/>
    </row>
    <row r="224" ht="15.75" customHeight="1">
      <c r="AM224" s="61"/>
    </row>
    <row r="225" ht="15.75" customHeight="1">
      <c r="AM225" s="61"/>
    </row>
    <row r="226" ht="15.75" customHeight="1">
      <c r="AM226" s="61"/>
    </row>
    <row r="227" ht="15.75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</row>
    <row r="228" ht="15.75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</row>
    <row r="229" ht="15.75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</row>
    <row r="230" ht="15.75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</row>
    <row r="235" ht="15.75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</row>
    <row r="236" ht="15.75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</row>
    <row r="237" ht="15.75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</row>
    <row r="238" ht="15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</row>
    <row r="239" ht="15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</row>
    <row r="240" ht="15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</row>
    <row r="241" ht="15.75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</row>
    <row r="242" ht="15.75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</row>
    <row r="243" ht="15.75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</row>
    <row r="244" ht="15.75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0"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K19:M19"/>
    <mergeCell ref="N19:Q19"/>
    <mergeCell ref="U19:X19"/>
    <mergeCell ref="Y19:AA19"/>
    <mergeCell ref="AC19:AF19"/>
    <mergeCell ref="AG19:AJ19"/>
    <mergeCell ref="B19:J19"/>
    <mergeCell ref="K20:M20"/>
    <mergeCell ref="N20:Q20"/>
    <mergeCell ref="Y20:AA20"/>
    <mergeCell ref="AC20:AF20"/>
    <mergeCell ref="AG20:AJ20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AC46:AE46"/>
    <mergeCell ref="AF46:AH46"/>
    <mergeCell ref="AI46:AK46"/>
    <mergeCell ref="U47:X47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0:X20"/>
    <mergeCell ref="U22:X22"/>
    <mergeCell ref="Y22:AB22"/>
    <mergeCell ref="AC22:AF22"/>
    <mergeCell ref="AG22:AK22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AG35:AK35"/>
    <mergeCell ref="AD36:AF36"/>
    <mergeCell ref="AG36:AJ36"/>
    <mergeCell ref="U36:AC36"/>
    <mergeCell ref="U37:AC37"/>
    <mergeCell ref="AD37:AF37"/>
    <mergeCell ref="AG37:AJ37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B20:J20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60:E60"/>
    <mergeCell ref="F60:I60"/>
    <mergeCell ref="J60:M60"/>
    <mergeCell ref="N60:R60"/>
  </mergeCells>
  <dataValidations>
    <dataValidation type="list" allowBlank="1" sqref="A68:A70">
      <formula1>catalogoAnalizadores!$A$2:$A1006</formula1>
    </dataValidation>
    <dataValidation type="list" allowBlank="1" showErrorMessage="1" sqref="AL10 AL19:AL20 S18:S21 AL23:AL24 S25 AL27:AL32 S28:S36 S40:S41 AL36:AL41 S44:S46 S49:S50 AL45:AL50 S54:S55 AL53:AL57 S59:S60">
      <formula1>"✓,✖,N/A"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0"/>
    <col customWidth="1" min="2" max="9" width="3.0"/>
    <col customWidth="1" min="10" max="10" width="8.43"/>
    <col customWidth="1" min="11" max="11" width="3.0"/>
    <col customWidth="1" min="12" max="12" width="4.0"/>
    <col customWidth="1" min="13" max="18" width="3.0"/>
    <col customWidth="1" min="19" max="19" width="8.43"/>
    <col customWidth="1" min="20" max="20" width="2.71"/>
    <col customWidth="1" min="21" max="23" width="4.0"/>
    <col customWidth="1" min="24" max="24" width="4.43"/>
    <col customWidth="1" min="25" max="27" width="4.0"/>
    <col customWidth="1" min="28" max="28" width="4.71"/>
    <col customWidth="1" min="29" max="34" width="4.0"/>
    <col customWidth="1" min="35" max="35" width="5.29"/>
    <col customWidth="1" min="36" max="36" width="3.29"/>
    <col customWidth="1" min="37" max="37" width="4.29"/>
    <col customWidth="1" min="38" max="38" width="9.29"/>
    <col customWidth="1" min="39" max="39" width="5.0"/>
  </cols>
  <sheetData>
    <row r="1" ht="15.0" customHeight="1">
      <c r="A1" s="61" t="s">
        <v>192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</row>
    <row r="2" ht="15.0" customHeight="1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</row>
    <row r="3" ht="15.0" customHeight="1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</row>
    <row r="4" ht="15.0" customHeight="1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</row>
    <row r="5" ht="15.0" customHeight="1">
      <c r="A5" s="61"/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</row>
    <row r="6" ht="15.0" customHeight="1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</row>
    <row r="7" ht="15.0" customHeight="1">
      <c r="A7" s="61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1"/>
    </row>
    <row r="8" ht="22.5" customHeight="1">
      <c r="A8" s="9"/>
      <c r="B8" s="9"/>
      <c r="C8" s="86" t="s">
        <v>338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4" t="s">
        <v>1</v>
      </c>
      <c r="AE8" s="87"/>
      <c r="AF8" s="6"/>
      <c r="AG8" s="6"/>
      <c r="AH8" s="6"/>
      <c r="AI8" s="6"/>
      <c r="AJ8" s="6"/>
      <c r="AK8" s="6"/>
      <c r="AL8" s="6"/>
      <c r="AM8" s="9"/>
    </row>
    <row r="9" ht="15.0" customHeight="1">
      <c r="A9" s="61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2"/>
    </row>
    <row r="10" ht="15.0" customHeight="1">
      <c r="A10" s="61"/>
      <c r="B10" s="66" t="s">
        <v>2</v>
      </c>
      <c r="D10" s="67" t="str">
        <f> TEXT(DATE(YEAR(TODAY()), MONTH(TODAY()), 25), "dd/mmm/yyyy")</f>
        <v>25/jul/2026</v>
      </c>
      <c r="I10" s="61"/>
      <c r="J10" s="61"/>
      <c r="K10" s="61"/>
      <c r="L10" s="61"/>
      <c r="M10" s="61"/>
      <c r="N10" s="61"/>
      <c r="O10" s="61"/>
      <c r="P10" s="62"/>
      <c r="Q10" s="62"/>
      <c r="R10" s="62"/>
      <c r="S10" s="64" t="s">
        <v>3</v>
      </c>
      <c r="X10" s="61" t="s">
        <v>4</v>
      </c>
      <c r="AA10" s="61"/>
      <c r="AB10" s="61"/>
      <c r="AC10" s="61"/>
      <c r="AD10" s="61"/>
      <c r="AE10" s="61"/>
      <c r="AF10" s="61"/>
      <c r="AG10" s="62"/>
      <c r="AH10" s="68" t="s">
        <v>5</v>
      </c>
      <c r="AI10" s="11"/>
      <c r="AJ10" s="11"/>
      <c r="AK10" s="12"/>
      <c r="AL10" s="51" t="s">
        <v>6</v>
      </c>
      <c r="AM10" s="61"/>
    </row>
    <row r="11" ht="15.0" customHeight="1">
      <c r="A11" s="61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</row>
    <row r="12" ht="15.0" customHeight="1">
      <c r="A12" s="61"/>
      <c r="B12" s="70" t="s">
        <v>7</v>
      </c>
      <c r="C12" s="11"/>
      <c r="D12" s="11"/>
      <c r="E12" s="11"/>
      <c r="F12" s="12"/>
      <c r="G12" s="47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2"/>
      <c r="T12" s="70" t="s">
        <v>8</v>
      </c>
      <c r="U12" s="11"/>
      <c r="V12" s="11"/>
      <c r="W12" s="11"/>
      <c r="X12" s="11"/>
      <c r="Y12" s="11"/>
      <c r="Z12" s="12"/>
      <c r="AA12" s="47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2"/>
      <c r="AM12" s="61"/>
    </row>
    <row r="13" ht="15.0" customHeight="1">
      <c r="A13" s="62"/>
      <c r="B13" s="70" t="s">
        <v>9</v>
      </c>
      <c r="C13" s="11"/>
      <c r="D13" s="11"/>
      <c r="E13" s="11"/>
      <c r="F13" s="12"/>
      <c r="G13" s="47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2"/>
      <c r="T13" s="70" t="s">
        <v>10</v>
      </c>
      <c r="U13" s="11"/>
      <c r="V13" s="11"/>
      <c r="W13" s="11"/>
      <c r="X13" s="11"/>
      <c r="Y13" s="11"/>
      <c r="Z13" s="12"/>
      <c r="AA13" s="47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2"/>
      <c r="AM13" s="61"/>
    </row>
    <row r="14" ht="15.0" customHeight="1">
      <c r="A14" s="61"/>
      <c r="B14" s="70" t="s">
        <v>11</v>
      </c>
      <c r="C14" s="11"/>
      <c r="D14" s="11"/>
      <c r="E14" s="11"/>
      <c r="F14" s="12"/>
      <c r="G14" s="47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2"/>
      <c r="T14" s="70" t="s">
        <v>12</v>
      </c>
      <c r="U14" s="11"/>
      <c r="V14" s="11"/>
      <c r="W14" s="11"/>
      <c r="X14" s="11"/>
      <c r="Y14" s="11"/>
      <c r="Z14" s="12"/>
      <c r="AA14" s="47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2"/>
      <c r="AM14" s="61"/>
    </row>
    <row r="15" ht="15.0" customHeight="1">
      <c r="A15" s="62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</row>
    <row r="16" ht="15.0" customHeight="1">
      <c r="A16" s="62"/>
      <c r="B16" s="43" t="s">
        <v>194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2"/>
      <c r="T16" s="61"/>
      <c r="U16" s="43" t="s">
        <v>404</v>
      </c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2"/>
      <c r="AM16" s="61"/>
    </row>
    <row r="17" ht="15.0" customHeight="1">
      <c r="A17" s="62"/>
      <c r="B17" s="44" t="s">
        <v>15</v>
      </c>
      <c r="C17" s="11"/>
      <c r="D17" s="11"/>
      <c r="E17" s="11"/>
      <c r="F17" s="11"/>
      <c r="G17" s="11"/>
      <c r="H17" s="11"/>
      <c r="I17" s="11"/>
      <c r="J17" s="12"/>
      <c r="K17" s="44" t="s">
        <v>16</v>
      </c>
      <c r="L17" s="11"/>
      <c r="M17" s="12"/>
      <c r="N17" s="44" t="s">
        <v>17</v>
      </c>
      <c r="O17" s="11"/>
      <c r="P17" s="11"/>
      <c r="Q17" s="11"/>
      <c r="R17" s="12"/>
      <c r="S17" s="72"/>
      <c r="T17" s="61"/>
      <c r="U17" s="47" t="s">
        <v>294</v>
      </c>
      <c r="V17" s="11"/>
      <c r="W17" s="11"/>
      <c r="X17" s="11"/>
      <c r="Y17" s="11"/>
      <c r="Z17" s="48">
        <v>30.0</v>
      </c>
      <c r="AA17" s="12"/>
      <c r="AB17" s="48">
        <v>60.0</v>
      </c>
      <c r="AC17" s="12"/>
      <c r="AD17" s="48">
        <v>80.0</v>
      </c>
      <c r="AE17" s="12"/>
      <c r="AF17" s="48">
        <v>90.0</v>
      </c>
      <c r="AG17" s="12"/>
      <c r="AH17" s="100">
        <v>120.0</v>
      </c>
      <c r="AJ17" s="48">
        <v>180.0</v>
      </c>
      <c r="AK17" s="12"/>
      <c r="AL17" s="101">
        <v>240.0</v>
      </c>
      <c r="AM17" s="61"/>
    </row>
    <row r="18" ht="15.0" customHeight="1">
      <c r="A18" s="61"/>
      <c r="B18" s="47" t="s">
        <v>197</v>
      </c>
      <c r="C18" s="11"/>
      <c r="D18" s="11"/>
      <c r="E18" s="11"/>
      <c r="F18" s="11"/>
      <c r="G18" s="11"/>
      <c r="H18" s="11"/>
      <c r="I18" s="11"/>
      <c r="J18" s="12"/>
      <c r="K18" s="48" t="s">
        <v>20</v>
      </c>
      <c r="L18" s="11"/>
      <c r="M18" s="12"/>
      <c r="N18" s="47"/>
      <c r="O18" s="11"/>
      <c r="P18" s="11"/>
      <c r="Q18" s="12"/>
      <c r="R18" s="89" t="s">
        <v>21</v>
      </c>
      <c r="S18" s="54" t="s">
        <v>6</v>
      </c>
      <c r="T18" s="61"/>
      <c r="U18" s="47" t="s">
        <v>342</v>
      </c>
      <c r="V18" s="11"/>
      <c r="W18" s="11"/>
      <c r="X18" s="11"/>
      <c r="Y18" s="11"/>
      <c r="Z18" s="47"/>
      <c r="AA18" s="12"/>
      <c r="AB18" s="47"/>
      <c r="AC18" s="12"/>
      <c r="AD18" s="47"/>
      <c r="AE18" s="12"/>
      <c r="AF18" s="47"/>
      <c r="AG18" s="12"/>
      <c r="AH18" s="47"/>
      <c r="AI18" s="12"/>
      <c r="AJ18" s="47"/>
      <c r="AK18" s="12"/>
      <c r="AL18" s="72"/>
      <c r="AM18" s="61"/>
    </row>
    <row r="19" ht="15.0" customHeight="1">
      <c r="A19" s="62"/>
      <c r="B19" s="47" t="s">
        <v>199</v>
      </c>
      <c r="C19" s="11"/>
      <c r="D19" s="11"/>
      <c r="E19" s="11"/>
      <c r="F19" s="11"/>
      <c r="G19" s="11"/>
      <c r="H19" s="11"/>
      <c r="I19" s="11"/>
      <c r="J19" s="12"/>
      <c r="K19" s="48" t="s">
        <v>20</v>
      </c>
      <c r="L19" s="11"/>
      <c r="M19" s="12"/>
      <c r="N19" s="47"/>
      <c r="O19" s="11"/>
      <c r="P19" s="11"/>
      <c r="Q19" s="12"/>
      <c r="R19" s="89" t="s">
        <v>21</v>
      </c>
      <c r="S19" s="54" t="s">
        <v>6</v>
      </c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</row>
    <row r="20" ht="15.0" customHeight="1">
      <c r="A20" s="62"/>
      <c r="B20" s="47" t="s">
        <v>201</v>
      </c>
      <c r="C20" s="11"/>
      <c r="D20" s="11"/>
      <c r="E20" s="11"/>
      <c r="F20" s="11"/>
      <c r="G20" s="11"/>
      <c r="H20" s="11"/>
      <c r="I20" s="11"/>
      <c r="J20" s="12"/>
      <c r="K20" s="48" t="s">
        <v>202</v>
      </c>
      <c r="L20" s="11"/>
      <c r="M20" s="12"/>
      <c r="N20" s="47"/>
      <c r="O20" s="11"/>
      <c r="P20" s="11"/>
      <c r="Q20" s="12"/>
      <c r="R20" s="89" t="s">
        <v>21</v>
      </c>
      <c r="S20" s="54" t="s">
        <v>6</v>
      </c>
      <c r="T20" s="62"/>
      <c r="U20" s="43" t="s">
        <v>405</v>
      </c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2"/>
      <c r="AM20" s="61"/>
    </row>
    <row r="21" ht="15.0" customHeight="1">
      <c r="A21" s="62"/>
      <c r="B21" s="47" t="s">
        <v>203</v>
      </c>
      <c r="C21" s="11"/>
      <c r="D21" s="11"/>
      <c r="E21" s="11"/>
      <c r="F21" s="11"/>
      <c r="G21" s="11"/>
      <c r="H21" s="11"/>
      <c r="I21" s="11"/>
      <c r="J21" s="12"/>
      <c r="K21" s="48" t="s">
        <v>204</v>
      </c>
      <c r="L21" s="11"/>
      <c r="M21" s="12"/>
      <c r="N21" s="47"/>
      <c r="O21" s="11"/>
      <c r="P21" s="11"/>
      <c r="Q21" s="12"/>
      <c r="R21" s="89" t="s">
        <v>205</v>
      </c>
      <c r="S21" s="54" t="s">
        <v>6</v>
      </c>
      <c r="T21" s="62"/>
      <c r="U21" s="47" t="s">
        <v>294</v>
      </c>
      <c r="V21" s="11"/>
      <c r="W21" s="11"/>
      <c r="X21" s="12"/>
      <c r="Y21" s="48" t="s">
        <v>406</v>
      </c>
      <c r="Z21" s="11"/>
      <c r="AA21" s="12"/>
      <c r="AB21" s="48" t="s">
        <v>407</v>
      </c>
      <c r="AC21" s="11"/>
      <c r="AD21" s="12"/>
      <c r="AE21" s="48" t="s">
        <v>408</v>
      </c>
      <c r="AF21" s="11"/>
      <c r="AG21" s="12"/>
      <c r="AH21" s="48" t="s">
        <v>409</v>
      </c>
      <c r="AI21" s="11"/>
      <c r="AJ21" s="12"/>
      <c r="AK21" s="48" t="s">
        <v>410</v>
      </c>
      <c r="AL21" s="12"/>
      <c r="AM21" s="61"/>
    </row>
    <row r="22" ht="15.0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47" t="s">
        <v>342</v>
      </c>
      <c r="V22" s="11"/>
      <c r="W22" s="11"/>
      <c r="X22" s="12"/>
      <c r="Y22" s="47"/>
      <c r="Z22" s="11"/>
      <c r="AA22" s="12"/>
      <c r="AB22" s="47"/>
      <c r="AC22" s="11"/>
      <c r="AD22" s="12"/>
      <c r="AE22" s="47"/>
      <c r="AF22" s="11"/>
      <c r="AG22" s="12"/>
      <c r="AH22" s="47"/>
      <c r="AI22" s="11"/>
      <c r="AJ22" s="12"/>
      <c r="AK22" s="47"/>
      <c r="AL22" s="12"/>
      <c r="AM22" s="61"/>
    </row>
    <row r="23" ht="15.0" customHeight="1">
      <c r="A23" s="62"/>
      <c r="B23" s="43" t="s">
        <v>210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2"/>
      <c r="T23" s="62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</row>
    <row r="24" ht="15.0" customHeight="1">
      <c r="A24" s="62"/>
      <c r="B24" s="44" t="s">
        <v>15</v>
      </c>
      <c r="C24" s="11"/>
      <c r="D24" s="11"/>
      <c r="E24" s="11"/>
      <c r="F24" s="11"/>
      <c r="G24" s="11"/>
      <c r="H24" s="11"/>
      <c r="I24" s="11"/>
      <c r="J24" s="12"/>
      <c r="K24" s="44" t="s">
        <v>16</v>
      </c>
      <c r="L24" s="11"/>
      <c r="M24" s="12"/>
      <c r="N24" s="44" t="s">
        <v>17</v>
      </c>
      <c r="O24" s="11"/>
      <c r="P24" s="11"/>
      <c r="Q24" s="11"/>
      <c r="R24" s="12"/>
      <c r="S24" s="72"/>
      <c r="T24" s="62"/>
      <c r="U24" s="43" t="s">
        <v>411</v>
      </c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  <c r="AM24" s="61"/>
    </row>
    <row r="25" ht="14.25" customHeight="1">
      <c r="A25" s="62"/>
      <c r="B25" s="47" t="s">
        <v>213</v>
      </c>
      <c r="C25" s="11"/>
      <c r="D25" s="11"/>
      <c r="E25" s="11"/>
      <c r="F25" s="11"/>
      <c r="G25" s="11"/>
      <c r="H25" s="11"/>
      <c r="I25" s="11"/>
      <c r="J25" s="12"/>
      <c r="K25" s="48" t="s">
        <v>214</v>
      </c>
      <c r="L25" s="11"/>
      <c r="M25" s="12"/>
      <c r="N25" s="47"/>
      <c r="O25" s="11"/>
      <c r="P25" s="11"/>
      <c r="Q25" s="11"/>
      <c r="R25" s="53" t="s">
        <v>215</v>
      </c>
      <c r="S25" s="51" t="s">
        <v>6</v>
      </c>
      <c r="T25" s="62"/>
      <c r="U25" s="47" t="s">
        <v>294</v>
      </c>
      <c r="V25" s="11"/>
      <c r="W25" s="11"/>
      <c r="X25" s="12"/>
      <c r="Y25" s="48" t="s">
        <v>412</v>
      </c>
      <c r="Z25" s="11"/>
      <c r="AA25" s="12"/>
      <c r="AB25" s="48" t="s">
        <v>400</v>
      </c>
      <c r="AC25" s="11"/>
      <c r="AD25" s="12"/>
      <c r="AE25" s="48" t="s">
        <v>413</v>
      </c>
      <c r="AF25" s="11"/>
      <c r="AG25" s="12"/>
      <c r="AH25" s="48" t="s">
        <v>403</v>
      </c>
      <c r="AI25" s="11"/>
      <c r="AJ25" s="12"/>
      <c r="AK25" s="48" t="s">
        <v>402</v>
      </c>
      <c r="AL25" s="12"/>
      <c r="AM25" s="61"/>
    </row>
    <row r="26" ht="14.2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1"/>
      <c r="U26" s="47" t="s">
        <v>342</v>
      </c>
      <c r="V26" s="11"/>
      <c r="W26" s="11"/>
      <c r="X26" s="12"/>
      <c r="Y26" s="47"/>
      <c r="Z26" s="11"/>
      <c r="AA26" s="12"/>
      <c r="AB26" s="47"/>
      <c r="AC26" s="11"/>
      <c r="AD26" s="12"/>
      <c r="AE26" s="47"/>
      <c r="AF26" s="11"/>
      <c r="AG26" s="12"/>
      <c r="AH26" s="47"/>
      <c r="AI26" s="11"/>
      <c r="AJ26" s="12"/>
      <c r="AK26" s="47"/>
      <c r="AL26" s="12"/>
      <c r="AM26" s="61"/>
    </row>
    <row r="27" ht="14.25" customHeight="1">
      <c r="A27" s="62"/>
      <c r="B27" s="43" t="s">
        <v>348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2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</row>
    <row r="28" ht="14.25" customHeight="1">
      <c r="A28" s="61"/>
      <c r="B28" s="88" t="s">
        <v>230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2"/>
      <c r="S28" s="54" t="s">
        <v>6</v>
      </c>
      <c r="T28" s="61"/>
      <c r="U28" s="43" t="s">
        <v>411</v>
      </c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  <c r="AM28" s="61"/>
    </row>
    <row r="29" ht="14.25" customHeight="1">
      <c r="A29" s="62"/>
      <c r="B29" s="92" t="s">
        <v>414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2"/>
      <c r="S29" s="54" t="s">
        <v>6</v>
      </c>
      <c r="T29" s="61"/>
      <c r="U29" s="47" t="s">
        <v>294</v>
      </c>
      <c r="V29" s="11"/>
      <c r="W29" s="11"/>
      <c r="X29" s="11"/>
      <c r="Y29" s="11"/>
      <c r="Z29" s="12"/>
      <c r="AA29" s="48" t="s">
        <v>415</v>
      </c>
      <c r="AB29" s="11"/>
      <c r="AC29" s="11"/>
      <c r="AD29" s="11"/>
      <c r="AE29" s="11"/>
      <c r="AF29" s="12"/>
      <c r="AG29" s="48" t="s">
        <v>416</v>
      </c>
      <c r="AH29" s="11"/>
      <c r="AI29" s="11"/>
      <c r="AJ29" s="11"/>
      <c r="AK29" s="11"/>
      <c r="AL29" s="12"/>
      <c r="AM29" s="61"/>
    </row>
    <row r="30" ht="14.25" customHeight="1">
      <c r="A30" s="62"/>
      <c r="B30" s="92" t="s">
        <v>417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2"/>
      <c r="S30" s="54" t="s">
        <v>6</v>
      </c>
      <c r="T30" s="61"/>
      <c r="U30" s="47" t="s">
        <v>342</v>
      </c>
      <c r="V30" s="11"/>
      <c r="W30" s="11"/>
      <c r="X30" s="11"/>
      <c r="Y30" s="11"/>
      <c r="Z30" s="12"/>
      <c r="AA30" s="47"/>
      <c r="AB30" s="11"/>
      <c r="AC30" s="11"/>
      <c r="AD30" s="11"/>
      <c r="AE30" s="11"/>
      <c r="AF30" s="12"/>
      <c r="AG30" s="47"/>
      <c r="AH30" s="11"/>
      <c r="AI30" s="11"/>
      <c r="AJ30" s="11"/>
      <c r="AK30" s="11"/>
      <c r="AL30" s="12"/>
      <c r="AM30" s="61"/>
    </row>
    <row r="31" ht="14.25" customHeight="1">
      <c r="A31" s="62"/>
      <c r="B31" s="92" t="s">
        <v>418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2"/>
      <c r="S31" s="54" t="s">
        <v>6</v>
      </c>
      <c r="T31" s="61"/>
      <c r="AK31" s="61"/>
      <c r="AM31" s="61"/>
    </row>
    <row r="32" ht="14.25" customHeight="1">
      <c r="A32" s="62"/>
      <c r="B32" s="92" t="s">
        <v>234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2"/>
      <c r="S32" s="54" t="s">
        <v>6</v>
      </c>
      <c r="T32" s="61"/>
      <c r="U32" s="43" t="s">
        <v>389</v>
      </c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  <c r="AM32" s="61"/>
    </row>
    <row r="33" ht="14.25" customHeight="1">
      <c r="A33" s="62"/>
      <c r="B33" s="92" t="s">
        <v>236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2"/>
      <c r="S33" s="54" t="s">
        <v>6</v>
      </c>
      <c r="T33" s="61"/>
      <c r="U33" s="88" t="s">
        <v>390</v>
      </c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2"/>
      <c r="AL33" s="54" t="s">
        <v>6</v>
      </c>
      <c r="AM33" s="61"/>
    </row>
    <row r="34" ht="14.25" customHeight="1">
      <c r="A34" s="62"/>
      <c r="B34" s="92" t="s">
        <v>419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2"/>
      <c r="S34" s="54" t="s">
        <v>6</v>
      </c>
      <c r="T34" s="61"/>
      <c r="U34" s="88" t="s">
        <v>394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2"/>
      <c r="AL34" s="54" t="s">
        <v>6</v>
      </c>
      <c r="AM34" s="62"/>
    </row>
    <row r="35" ht="14.25" customHeight="1">
      <c r="A35" s="62"/>
      <c r="B35" s="92" t="s">
        <v>85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2"/>
      <c r="S35" s="54" t="s">
        <v>6</v>
      </c>
      <c r="T35" s="61"/>
      <c r="U35" s="92" t="s">
        <v>397</v>
      </c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2"/>
      <c r="AL35" s="54" t="s">
        <v>6</v>
      </c>
      <c r="AM35" s="61"/>
    </row>
    <row r="36" ht="14.25" customHeight="1">
      <c r="A36" s="62"/>
      <c r="B36" s="92" t="s">
        <v>237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2"/>
      <c r="S36" s="54" t="s">
        <v>6</v>
      </c>
      <c r="T36" s="61"/>
      <c r="U36" s="92" t="s">
        <v>398</v>
      </c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2"/>
      <c r="AL36" s="54" t="s">
        <v>6</v>
      </c>
      <c r="AM36" s="61"/>
    </row>
    <row r="37" ht="14.25" customHeight="1">
      <c r="A37" s="62"/>
      <c r="T37" s="61"/>
      <c r="U37" s="92" t="s">
        <v>51</v>
      </c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2"/>
      <c r="AL37" s="54" t="s">
        <v>6</v>
      </c>
      <c r="AM37" s="61"/>
    </row>
    <row r="38" ht="14.25" customHeight="1">
      <c r="A38" s="62"/>
      <c r="B38" s="43" t="s">
        <v>420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2"/>
      <c r="T38" s="61"/>
      <c r="AK38" s="61"/>
      <c r="AM38" s="61"/>
    </row>
    <row r="39" ht="14.25" customHeight="1">
      <c r="A39" s="62"/>
      <c r="B39" s="30" t="s">
        <v>421</v>
      </c>
      <c r="C39" s="11"/>
      <c r="D39" s="11"/>
      <c r="E39" s="11"/>
      <c r="F39" s="11"/>
      <c r="G39" s="11"/>
      <c r="H39" s="11"/>
      <c r="I39" s="12"/>
      <c r="J39" s="54" t="s">
        <v>6</v>
      </c>
      <c r="K39" s="30" t="s">
        <v>422</v>
      </c>
      <c r="L39" s="11"/>
      <c r="M39" s="11"/>
      <c r="N39" s="11"/>
      <c r="O39" s="11"/>
      <c r="P39" s="11"/>
      <c r="Q39" s="11"/>
      <c r="R39" s="12"/>
      <c r="S39" s="54" t="s">
        <v>6</v>
      </c>
      <c r="T39" s="61"/>
      <c r="AK39" s="61"/>
      <c r="AM39" s="61"/>
    </row>
    <row r="40" ht="15.75" customHeight="1">
      <c r="B40" s="30" t="s">
        <v>423</v>
      </c>
      <c r="C40" s="11"/>
      <c r="D40" s="11"/>
      <c r="E40" s="11"/>
      <c r="F40" s="11"/>
      <c r="G40" s="11"/>
      <c r="H40" s="11"/>
      <c r="I40" s="12"/>
      <c r="J40" s="54" t="s">
        <v>6</v>
      </c>
      <c r="K40" s="30" t="s">
        <v>22</v>
      </c>
      <c r="L40" s="11"/>
      <c r="M40" s="11"/>
      <c r="N40" s="11"/>
      <c r="O40" s="11"/>
      <c r="P40" s="11"/>
      <c r="Q40" s="11"/>
      <c r="R40" s="12"/>
      <c r="S40" s="54" t="s">
        <v>6</v>
      </c>
      <c r="T40" s="61"/>
      <c r="AK40" s="61"/>
      <c r="AM40" s="61"/>
    </row>
    <row r="41" ht="15.0" customHeight="1">
      <c r="B41" s="30" t="s">
        <v>424</v>
      </c>
      <c r="C41" s="11"/>
      <c r="D41" s="11"/>
      <c r="E41" s="11"/>
      <c r="F41" s="11"/>
      <c r="G41" s="11"/>
      <c r="H41" s="11"/>
      <c r="I41" s="12"/>
      <c r="J41" s="54" t="s">
        <v>6</v>
      </c>
      <c r="K41" s="30" t="s">
        <v>425</v>
      </c>
      <c r="L41" s="11"/>
      <c r="M41" s="11"/>
      <c r="N41" s="11"/>
      <c r="O41" s="11"/>
      <c r="P41" s="11"/>
      <c r="Q41" s="11"/>
      <c r="R41" s="12"/>
      <c r="S41" s="54" t="s">
        <v>6</v>
      </c>
      <c r="T41" s="61"/>
      <c r="AK41" s="61"/>
      <c r="AM41" s="61"/>
    </row>
    <row r="42" ht="15.75" customHeight="1">
      <c r="T42" s="61"/>
      <c r="AK42" s="61"/>
      <c r="AM42" s="61"/>
    </row>
    <row r="43" ht="15.75" customHeight="1">
      <c r="A43" s="61"/>
      <c r="B43" s="78" t="s">
        <v>58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  <c r="AM43" s="61"/>
    </row>
    <row r="44" ht="15.75" customHeight="1">
      <c r="B44" s="44" t="s">
        <v>59</v>
      </c>
      <c r="C44" s="11"/>
      <c r="D44" s="11"/>
      <c r="E44" s="11"/>
      <c r="F44" s="11"/>
      <c r="G44" s="11"/>
      <c r="H44" s="11"/>
      <c r="I44" s="11"/>
      <c r="J44" s="11"/>
      <c r="K44" s="12"/>
      <c r="L44" s="44" t="s">
        <v>8</v>
      </c>
      <c r="M44" s="11"/>
      <c r="N44" s="11"/>
      <c r="O44" s="11"/>
      <c r="P44" s="11"/>
      <c r="Q44" s="11"/>
      <c r="R44" s="11"/>
      <c r="S44" s="12"/>
      <c r="T44" s="44" t="s">
        <v>10</v>
      </c>
      <c r="U44" s="11"/>
      <c r="V44" s="11"/>
      <c r="W44" s="11"/>
      <c r="X44" s="11"/>
      <c r="Y44" s="11"/>
      <c r="Z44" s="11"/>
      <c r="AA44" s="11"/>
      <c r="AB44" s="12"/>
      <c r="AC44" s="44" t="s">
        <v>60</v>
      </c>
      <c r="AD44" s="11"/>
      <c r="AE44" s="11"/>
      <c r="AF44" s="11"/>
      <c r="AG44" s="11"/>
      <c r="AH44" s="11"/>
      <c r="AI44" s="11"/>
      <c r="AJ44" s="11"/>
      <c r="AK44" s="11"/>
      <c r="AL44" s="12"/>
      <c r="AM44" s="61"/>
    </row>
    <row r="45" ht="15.75" customHeight="1">
      <c r="A45" s="62" t="s">
        <v>61</v>
      </c>
      <c r="B45" s="41" t="str">
        <f t="shared" ref="B45:B47" si="1">IFERROR(VLOOKUP(A45,catalogoAnalizadores!A:E,2,FALSE),"")</f>
        <v/>
      </c>
      <c r="C45" s="11"/>
      <c r="D45" s="11"/>
      <c r="E45" s="11"/>
      <c r="F45" s="11"/>
      <c r="G45" s="11"/>
      <c r="H45" s="11"/>
      <c r="I45" s="11"/>
      <c r="J45" s="11"/>
      <c r="K45" s="12"/>
      <c r="L45" s="41" t="str">
        <f t="shared" ref="L45:L47" si="2">IFERROR(VLOOKUP(A45,catalogoAnalizadores!A:E,3,FALSE),"")</f>
        <v/>
      </c>
      <c r="M45" s="11"/>
      <c r="N45" s="11"/>
      <c r="O45" s="11"/>
      <c r="P45" s="11"/>
      <c r="Q45" s="11"/>
      <c r="R45" s="11"/>
      <c r="S45" s="12"/>
      <c r="T45" s="41" t="str">
        <f t="shared" ref="T45:T47" si="3">IFERROR(VLOOKUP(A45,catalogoAnalizadores!A:E,4,FALSE),"")</f>
        <v/>
      </c>
      <c r="U45" s="11"/>
      <c r="V45" s="11"/>
      <c r="W45" s="11"/>
      <c r="X45" s="11"/>
      <c r="Y45" s="11"/>
      <c r="Z45" s="11"/>
      <c r="AA45" s="11"/>
      <c r="AB45" s="12"/>
      <c r="AC45" s="41" t="str">
        <f t="shared" ref="AC45:AC47" si="4">IFERROR(VLOOKUP(A45,catalogoAnalizadores!A:E,5,FALSE),"")</f>
        <v/>
      </c>
      <c r="AD45" s="11"/>
      <c r="AE45" s="11"/>
      <c r="AF45" s="11"/>
      <c r="AG45" s="11"/>
      <c r="AH45" s="11"/>
      <c r="AI45" s="11"/>
      <c r="AJ45" s="11"/>
      <c r="AK45" s="11"/>
      <c r="AL45" s="12"/>
      <c r="AM45" s="61"/>
    </row>
    <row r="46" ht="15.75" customHeight="1">
      <c r="A46" s="62" t="s">
        <v>61</v>
      </c>
      <c r="B46" s="41" t="str">
        <f t="shared" si="1"/>
        <v/>
      </c>
      <c r="C46" s="11"/>
      <c r="D46" s="11"/>
      <c r="E46" s="11"/>
      <c r="F46" s="11"/>
      <c r="G46" s="11"/>
      <c r="H46" s="11"/>
      <c r="I46" s="11"/>
      <c r="J46" s="11"/>
      <c r="K46" s="12"/>
      <c r="L46" s="41" t="str">
        <f t="shared" si="2"/>
        <v/>
      </c>
      <c r="M46" s="11"/>
      <c r="N46" s="11"/>
      <c r="O46" s="11"/>
      <c r="P46" s="11"/>
      <c r="Q46" s="11"/>
      <c r="R46" s="11"/>
      <c r="S46" s="12"/>
      <c r="T46" s="41" t="str">
        <f t="shared" si="3"/>
        <v/>
      </c>
      <c r="U46" s="11"/>
      <c r="V46" s="11"/>
      <c r="W46" s="11"/>
      <c r="X46" s="11"/>
      <c r="Y46" s="11"/>
      <c r="Z46" s="11"/>
      <c r="AA46" s="11"/>
      <c r="AB46" s="12"/>
      <c r="AC46" s="41" t="str">
        <f t="shared" si="4"/>
        <v/>
      </c>
      <c r="AD46" s="11"/>
      <c r="AE46" s="11"/>
      <c r="AF46" s="11"/>
      <c r="AG46" s="11"/>
      <c r="AH46" s="11"/>
      <c r="AI46" s="11"/>
      <c r="AJ46" s="11"/>
      <c r="AK46" s="11"/>
      <c r="AL46" s="12"/>
      <c r="AM46" s="61"/>
    </row>
    <row r="47" ht="15.75" customHeight="1">
      <c r="A47" s="62" t="s">
        <v>61</v>
      </c>
      <c r="B47" s="41" t="str">
        <f t="shared" si="1"/>
        <v/>
      </c>
      <c r="C47" s="11"/>
      <c r="D47" s="11"/>
      <c r="E47" s="11"/>
      <c r="F47" s="11"/>
      <c r="G47" s="11"/>
      <c r="H47" s="11"/>
      <c r="I47" s="11"/>
      <c r="J47" s="11"/>
      <c r="K47" s="12"/>
      <c r="L47" s="41" t="str">
        <f t="shared" si="2"/>
        <v/>
      </c>
      <c r="M47" s="11"/>
      <c r="N47" s="11"/>
      <c r="O47" s="11"/>
      <c r="P47" s="11"/>
      <c r="Q47" s="11"/>
      <c r="R47" s="11"/>
      <c r="S47" s="12"/>
      <c r="T47" s="41" t="str">
        <f t="shared" si="3"/>
        <v/>
      </c>
      <c r="U47" s="11"/>
      <c r="V47" s="11"/>
      <c r="W47" s="11"/>
      <c r="X47" s="11"/>
      <c r="Y47" s="11"/>
      <c r="Z47" s="11"/>
      <c r="AA47" s="11"/>
      <c r="AB47" s="12"/>
      <c r="AC47" s="41" t="str">
        <f t="shared" si="4"/>
        <v/>
      </c>
      <c r="AD47" s="11"/>
      <c r="AE47" s="11"/>
      <c r="AF47" s="11"/>
      <c r="AG47" s="11"/>
      <c r="AH47" s="11"/>
      <c r="AI47" s="11"/>
      <c r="AJ47" s="11"/>
      <c r="AK47" s="11"/>
      <c r="AL47" s="12"/>
      <c r="AM47" s="61"/>
    </row>
    <row r="48" ht="15.75" customHeight="1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</row>
    <row r="49" ht="15.75" customHeight="1">
      <c r="A49" s="61"/>
      <c r="B49" s="78" t="s">
        <v>62</v>
      </c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  <c r="AM49" s="61"/>
    </row>
    <row r="50" ht="15.75" customHeight="1">
      <c r="A50" s="61"/>
      <c r="B50" s="47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  <c r="AM50" s="61"/>
    </row>
    <row r="51" ht="15.75" customHeight="1">
      <c r="A51" s="61"/>
      <c r="B51" s="47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  <c r="AM51" s="61"/>
    </row>
    <row r="52" ht="15.75" customHeight="1">
      <c r="A52" s="61"/>
      <c r="B52" s="47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  <c r="AM52" s="61"/>
    </row>
    <row r="53" ht="15.75" customHeight="1">
      <c r="A53" s="61"/>
      <c r="B53" s="47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  <c r="AM53" s="61"/>
    </row>
    <row r="54" ht="15.75" customHeight="1">
      <c r="A54" s="61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1"/>
    </row>
    <row r="55" ht="15.75" customHeight="1">
      <c r="A55" s="61"/>
      <c r="B55" s="62"/>
      <c r="M55" s="61"/>
      <c r="N55" s="61"/>
      <c r="O55" s="61"/>
      <c r="P55" s="61"/>
      <c r="AA55" s="61"/>
      <c r="AB55" s="61"/>
      <c r="AC55" s="62"/>
      <c r="AM55" s="61"/>
    </row>
    <row r="56" ht="15.75" customHeight="1">
      <c r="A56" s="61"/>
      <c r="B56" s="79" t="s">
        <v>63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61"/>
      <c r="N56" s="61"/>
      <c r="O56" s="61"/>
      <c r="P56" s="61"/>
      <c r="Q56" s="79" t="s">
        <v>64</v>
      </c>
      <c r="R56" s="18"/>
      <c r="S56" s="18"/>
      <c r="T56" s="18"/>
      <c r="U56" s="18"/>
      <c r="V56" s="18"/>
      <c r="W56" s="18"/>
      <c r="X56" s="18"/>
      <c r="Y56" s="18"/>
      <c r="Z56" s="18"/>
      <c r="AA56" s="61"/>
      <c r="AB56" s="61"/>
      <c r="AC56" s="79" t="s">
        <v>65</v>
      </c>
      <c r="AD56" s="18"/>
      <c r="AE56" s="18"/>
      <c r="AF56" s="18"/>
      <c r="AG56" s="18"/>
      <c r="AH56" s="18"/>
      <c r="AI56" s="18"/>
      <c r="AJ56" s="18"/>
      <c r="AK56" s="18"/>
      <c r="AL56" s="18"/>
      <c r="AM56" s="61"/>
    </row>
    <row r="57" ht="15.75" customHeight="1">
      <c r="A57" s="61"/>
      <c r="T57" s="61"/>
      <c r="AK57" s="61"/>
      <c r="AM57" s="61"/>
    </row>
    <row r="58" ht="15.75" customHeight="1">
      <c r="A58" s="61"/>
      <c r="T58" s="61"/>
      <c r="AK58" s="61"/>
      <c r="AM58" s="61"/>
    </row>
    <row r="59" ht="15.75" customHeight="1">
      <c r="A59" s="61"/>
      <c r="T59" s="61"/>
      <c r="AK59" s="61"/>
      <c r="AM59" s="61"/>
    </row>
    <row r="60" ht="15.75" customHeight="1">
      <c r="A60" s="62"/>
      <c r="T60" s="61"/>
      <c r="AK60" s="61"/>
      <c r="AM60" s="61"/>
    </row>
    <row r="61" ht="15.75" customHeight="1">
      <c r="A61" s="62"/>
      <c r="T61" s="61"/>
      <c r="AK61" s="61"/>
      <c r="AM61" s="61"/>
    </row>
    <row r="62" ht="15.75" customHeight="1">
      <c r="A62" s="62"/>
      <c r="T62" s="61"/>
      <c r="AK62" s="61"/>
      <c r="AM62" s="61"/>
    </row>
    <row r="63" ht="15.75" customHeight="1">
      <c r="T63" s="61"/>
      <c r="AK63" s="61"/>
    </row>
    <row r="64" ht="15.75" customHeight="1">
      <c r="T64" s="61"/>
      <c r="AK64" s="61"/>
    </row>
    <row r="65" ht="15.75" customHeight="1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</row>
    <row r="66" ht="15.75" customHeight="1">
      <c r="AM66" s="61"/>
    </row>
    <row r="67" ht="15.75" customHeight="1">
      <c r="AM67" s="61"/>
    </row>
    <row r="68" ht="15.75" customHeight="1">
      <c r="AM68" s="61"/>
    </row>
    <row r="69" ht="15.75" customHeight="1">
      <c r="AM69" s="61"/>
    </row>
    <row r="70" ht="15.75" customHeight="1">
      <c r="AM70" s="62"/>
    </row>
    <row r="71" ht="15.75" customHeight="1">
      <c r="AM71" s="61"/>
    </row>
    <row r="72" ht="15.75" customHeight="1">
      <c r="AM72" s="61"/>
    </row>
    <row r="73" ht="15.75" customHeight="1">
      <c r="AM73" s="61"/>
    </row>
    <row r="74" ht="15.75" customHeight="1">
      <c r="AM74" s="61"/>
    </row>
    <row r="75" ht="15.75" customHeight="1">
      <c r="AM75" s="61"/>
    </row>
    <row r="76" ht="15.75" customHeight="1">
      <c r="AM76" s="61"/>
    </row>
    <row r="77" ht="15.75" customHeight="1">
      <c r="AM77" s="61"/>
    </row>
    <row r="78" ht="15.75" customHeight="1">
      <c r="AM78" s="61"/>
    </row>
    <row r="79" ht="15.75" customHeight="1">
      <c r="AM79" s="61"/>
    </row>
    <row r="80" ht="15.75" customHeight="1">
      <c r="A80" s="62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</row>
    <row r="81" ht="15.75" customHeight="1">
      <c r="A81" s="62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</row>
    <row r="82" ht="15.75" customHeight="1">
      <c r="A82" s="62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</row>
    <row r="83" ht="15.75" customHeight="1">
      <c r="A83" s="62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</row>
    <row r="84" ht="15.75" customHeight="1">
      <c r="A84" s="62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</row>
    <row r="85" ht="15.75" customHeight="1">
      <c r="A85" s="62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</row>
    <row r="86" ht="15.75" customHeight="1">
      <c r="A86" s="62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</row>
    <row r="87" ht="15.75" customHeight="1">
      <c r="A87" s="62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</row>
    <row r="88" ht="15.75" customHeight="1">
      <c r="A88" s="62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</row>
    <row r="89" ht="15.75" customHeight="1">
      <c r="A89" s="62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</row>
    <row r="90" ht="15.75" customHeight="1">
      <c r="A90" s="62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</row>
    <row r="91" ht="15.75" customHeight="1">
      <c r="A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</row>
    <row r="92" ht="15.75" customHeight="1">
      <c r="AM92" s="61"/>
    </row>
    <row r="93" ht="15.75" customHeight="1">
      <c r="AM93" s="61"/>
    </row>
    <row r="94" ht="15.75" customHeight="1">
      <c r="AM94" s="61"/>
    </row>
    <row r="95" ht="15.75" customHeight="1">
      <c r="AM95" s="61"/>
    </row>
    <row r="96" ht="15.75" customHeight="1">
      <c r="AM96" s="61"/>
    </row>
    <row r="97" ht="15.75" customHeight="1">
      <c r="AM97" s="61"/>
    </row>
    <row r="98" ht="15.75" customHeight="1">
      <c r="AM98" s="61"/>
    </row>
    <row r="99" ht="15.75" customHeight="1">
      <c r="AM99" s="61"/>
    </row>
    <row r="100" ht="15.75" customHeight="1">
      <c r="AM100" s="61"/>
    </row>
    <row r="101" ht="15.75" customHeight="1">
      <c r="AM101" s="61"/>
    </row>
    <row r="102" ht="15.75" customHeight="1">
      <c r="AM102" s="61"/>
    </row>
    <row r="103" ht="15.75" customHeight="1">
      <c r="AM103" s="61"/>
    </row>
    <row r="104" ht="15.75" customHeight="1">
      <c r="AM104" s="61"/>
    </row>
    <row r="105" ht="15.75" customHeight="1">
      <c r="AM105" s="61"/>
    </row>
    <row r="106" ht="15.75" customHeight="1">
      <c r="AM106" s="61"/>
    </row>
    <row r="107" ht="15.75" customHeight="1">
      <c r="AM107" s="61"/>
    </row>
    <row r="108" ht="15.75" customHeight="1">
      <c r="A108" s="62"/>
      <c r="B108" s="62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62"/>
      <c r="B109" s="62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62"/>
      <c r="B110" s="62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62"/>
      <c r="B111" s="62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62"/>
      <c r="B112" s="62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61"/>
      <c r="B114" s="61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61"/>
      <c r="B115" s="61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61"/>
      <c r="B116" s="61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61"/>
      <c r="B117" s="61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</row>
    <row r="124" ht="15.75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</row>
    <row r="125" ht="15.75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</row>
    <row r="126" ht="15.75" customHeight="1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</row>
    <row r="127" ht="15.75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</row>
    <row r="128" ht="15.75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</row>
    <row r="129" ht="15.75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</row>
    <row r="130" ht="15.75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</row>
    <row r="131" ht="15.75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</row>
    <row r="132" ht="15.75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</row>
    <row r="133" ht="15.75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</row>
    <row r="134" ht="15.75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</row>
    <row r="135" ht="15.75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</row>
    <row r="136" ht="15.75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</row>
    <row r="137" ht="15.75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</row>
    <row r="138" ht="15.75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</row>
    <row r="139" ht="15.75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</row>
    <row r="140" ht="15.75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</row>
    <row r="141" ht="15.75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  <c r="AM141" s="61"/>
    </row>
    <row r="142" ht="15.75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</row>
    <row r="143" ht="15.75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</row>
    <row r="144" ht="15.75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</row>
    <row r="145" ht="15.75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</row>
    <row r="146" ht="15.75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</row>
    <row r="147" ht="15.75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</row>
    <row r="148" ht="15.75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</row>
    <row r="149" ht="15.75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</row>
    <row r="150" ht="15.75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</row>
    <row r="151" ht="15.75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</row>
    <row r="152" ht="15.75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</row>
    <row r="153" ht="15.75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</row>
    <row r="154" ht="15.75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</row>
    <row r="155" ht="15.75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</row>
    <row r="156" ht="15.75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  <c r="AM156" s="61"/>
    </row>
    <row r="157" ht="15.75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</row>
    <row r="158" ht="15.75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  <c r="AM158" s="61"/>
    </row>
    <row r="159" ht="15.75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</row>
    <row r="160" ht="15.75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</row>
    <row r="161" ht="15.75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</row>
    <row r="162" ht="15.75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  <c r="AM162" s="61"/>
    </row>
    <row r="163" ht="15.75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</row>
    <row r="164" ht="15.75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  <c r="AM164" s="61"/>
    </row>
    <row r="165" ht="15.75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</row>
    <row r="166" ht="15.75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  <c r="AM166" s="61"/>
    </row>
    <row r="167" ht="15.75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</row>
    <row r="168" ht="15.75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  <c r="AM168" s="61"/>
    </row>
    <row r="169" ht="15.75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</row>
    <row r="170" ht="15.75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</row>
    <row r="171" ht="15.75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</row>
    <row r="172" ht="15.75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</row>
    <row r="173" ht="15.75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</row>
    <row r="174" ht="15.75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</row>
    <row r="175" ht="15.75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</row>
    <row r="176" ht="15.75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</row>
    <row r="177" ht="15.75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</row>
    <row r="178" ht="15.75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</row>
    <row r="179" ht="15.75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</row>
    <row r="180" ht="15.75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</row>
    <row r="181" ht="15.75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</row>
    <row r="182" ht="15.75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</row>
    <row r="183" ht="15.75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</row>
    <row r="184" ht="15.75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</row>
    <row r="185" ht="15.75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</row>
    <row r="186" ht="15.75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</row>
    <row r="187" ht="15.75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</row>
    <row r="188" ht="15.75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</row>
    <row r="189" ht="15.75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</row>
    <row r="190" ht="15.75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</row>
    <row r="191" ht="15.75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</row>
    <row r="192" ht="15.75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</row>
    <row r="193" ht="15.75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</row>
    <row r="194" ht="15.75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</row>
    <row r="195" ht="15.7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</row>
    <row r="196" ht="15.75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</row>
    <row r="197" ht="15.75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</row>
    <row r="198" ht="15.75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  <c r="AM198" s="61"/>
    </row>
    <row r="199" ht="15.75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</row>
    <row r="200" ht="15.75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</row>
    <row r="201" ht="15.75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</row>
    <row r="202" ht="15.75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</row>
    <row r="203" ht="15.75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</row>
    <row r="204" ht="15.75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</row>
    <row r="205" ht="15.75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</row>
    <row r="206" ht="15.75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</row>
    <row r="207" ht="15.75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</row>
    <row r="208" ht="15.75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  <c r="AM208" s="61"/>
    </row>
    <row r="209" ht="15.75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</row>
    <row r="210" ht="15.75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</row>
    <row r="211" ht="15.75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</row>
    <row r="212" ht="15.75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</row>
    <row r="213" ht="15.75" customHeight="1">
      <c r="AM213" s="61"/>
    </row>
    <row r="214" ht="15.75" customHeight="1">
      <c r="AM214" s="61"/>
    </row>
    <row r="215" ht="15.75" customHeight="1">
      <c r="AM215" s="61"/>
    </row>
    <row r="216" ht="15.75" customHeight="1">
      <c r="AM216" s="61"/>
    </row>
    <row r="217" ht="15.75" customHeight="1">
      <c r="AM217" s="61"/>
    </row>
    <row r="218" ht="15.75" customHeight="1">
      <c r="AM218" s="61"/>
    </row>
    <row r="219" ht="15.75" customHeight="1">
      <c r="AM219" s="61"/>
    </row>
    <row r="220" ht="15.75" customHeight="1">
      <c r="AM220" s="61"/>
    </row>
    <row r="221" ht="15.75" customHeight="1">
      <c r="AM221" s="61"/>
    </row>
    <row r="222" ht="15.75" customHeight="1">
      <c r="AM222" s="61"/>
    </row>
    <row r="223" ht="15.75" customHeight="1">
      <c r="AM223" s="61"/>
    </row>
    <row r="224" ht="15.75" customHeight="1">
      <c r="AM224" s="61"/>
    </row>
    <row r="225" ht="15.75" customHeight="1">
      <c r="AM225" s="61"/>
    </row>
    <row r="226" ht="15.75" customHeight="1">
      <c r="AM226" s="61"/>
    </row>
    <row r="227" ht="15.75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</row>
    <row r="228" ht="15.75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</row>
    <row r="229" ht="15.75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</row>
    <row r="230" ht="15.75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</row>
    <row r="235" ht="15.75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</row>
    <row r="236" ht="15.75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</row>
    <row r="237" ht="15.75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</row>
    <row r="238" ht="15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</row>
    <row r="239" ht="15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</row>
    <row r="240" ht="15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</row>
    <row r="241" ht="15.75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</row>
    <row r="242" ht="15.75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</row>
    <row r="243" ht="15.75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</row>
    <row r="244" ht="15.75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0">
    <mergeCell ref="U17:Y17"/>
    <mergeCell ref="Z17:AA17"/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Y26:AA26"/>
    <mergeCell ref="AB26:AD26"/>
    <mergeCell ref="AE26:AG2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T46:AB46"/>
    <mergeCell ref="AC46:AL46"/>
    <mergeCell ref="B47:K47"/>
    <mergeCell ref="L47:S47"/>
    <mergeCell ref="T47:AB47"/>
    <mergeCell ref="AC47:AL47"/>
    <mergeCell ref="B49:AL49"/>
  </mergeCells>
  <dataValidations>
    <dataValidation type="list" allowBlank="1" showErrorMessage="1" sqref="AL10 S18:S21 S25 S28:S36 AL33:AL37 J39:J41 S39:S41">
      <formula1>"✓,✖,N/A"</formula1>
    </dataValidation>
    <dataValidation type="list" allowBlank="1" sqref="A45:A47">
      <formula1>catalogoAnalizadores!$A$2:$A1006</formula1>
    </dataValidation>
  </dataValidations>
  <printOptions/>
  <pageMargins bottom="0.0" footer="0.0" header="0.0" left="0.0" right="0.0" top="0.0"/>
  <pageSetup fitToHeight="0" orientation="portrait"/>
  <headerFooter>
    <oddFooter>&amp;LVERSIÓN 3.0&amp;RPágina &amp;P de </oddFooter>
  </headerFooter>
  <drawing r:id="rId1"/>
</worksheet>
</file>